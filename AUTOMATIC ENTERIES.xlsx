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072"/>
  </bookViews>
  <sheets>
    <sheet name="AUTOMATIC ENT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3" i="1"/>
  <c r="K9" i="1"/>
  <c r="K10" i="1"/>
  <c r="K11" i="1"/>
  <c r="K8" i="1"/>
  <c r="K5" i="1"/>
  <c r="L5" i="1" s="1"/>
  <c r="K4" i="1"/>
  <c r="L4" i="1" s="1"/>
  <c r="B19" i="1"/>
  <c r="K2" i="1" l="1"/>
  <c r="L2" i="1"/>
</calcChain>
</file>

<file path=xl/sharedStrings.xml><?xml version="1.0" encoding="utf-8"?>
<sst xmlns="http://schemas.openxmlformats.org/spreadsheetml/2006/main" count="191" uniqueCount="64">
  <si>
    <t>Document Date</t>
  </si>
  <si>
    <t>Document Number</t>
  </si>
  <si>
    <t>Acc Number</t>
  </si>
  <si>
    <t>ACC Name</t>
  </si>
  <si>
    <t>Project Number</t>
  </si>
  <si>
    <t>Currency</t>
  </si>
  <si>
    <t>Rate</t>
  </si>
  <si>
    <t>Debit</t>
  </si>
  <si>
    <t>Credit</t>
  </si>
  <si>
    <t>Balance (Document Currency)</t>
  </si>
  <si>
    <t xml:space="preserve"> Balance (Local Currency) </t>
  </si>
  <si>
    <t>Desc.</t>
  </si>
  <si>
    <t>module</t>
  </si>
  <si>
    <t>JV001</t>
  </si>
  <si>
    <t>بنك مصر</t>
  </si>
  <si>
    <t>PRJ001</t>
  </si>
  <si>
    <t>EGP</t>
  </si>
  <si>
    <t xml:space="preserve">استلام دفعة من العميل </t>
  </si>
  <si>
    <t>Advansed payment</t>
  </si>
  <si>
    <t>دفعات مقدمة من العملاء</t>
  </si>
  <si>
    <t>JV002</t>
  </si>
  <si>
    <t>دفعات مقدمة للموردين</t>
  </si>
  <si>
    <t xml:space="preserve">تسليم دفعة للمورد </t>
  </si>
  <si>
    <t>###############################################################################################################################################################################################################################################################</t>
  </si>
  <si>
    <t>JV003</t>
  </si>
  <si>
    <t xml:space="preserve">مخزون مواد </t>
  </si>
  <si>
    <t>استلام مخزون</t>
  </si>
  <si>
    <t xml:space="preserve">purshase order </t>
  </si>
  <si>
    <t>الموردين</t>
  </si>
  <si>
    <t>مشروعات تحت التنفيذ -  مواد خام</t>
  </si>
  <si>
    <t xml:space="preserve">تحويل المخزون الي مشروعات تحت التنفيذ </t>
  </si>
  <si>
    <t>JV004</t>
  </si>
  <si>
    <t xml:space="preserve">قفل جزء من حساب المورد  بالدفعة المدفوعة </t>
  </si>
  <si>
    <t xml:space="preserve">سداد المتبقي من البنك </t>
  </si>
  <si>
    <t>JV005</t>
  </si>
  <si>
    <t>مشروعات تحت التنفيذ - هندسة وتصميم</t>
  </si>
  <si>
    <t xml:space="preserve">تنفيذ اعمال هندسية </t>
  </si>
  <si>
    <t>JV006</t>
  </si>
  <si>
    <t xml:space="preserve">سداد قيمة الاعمال من البنك </t>
  </si>
  <si>
    <t>مشروعات تحت التنفيذ - أجور عمالة</t>
  </si>
  <si>
    <t>JV007</t>
  </si>
  <si>
    <t>عملاء مشروعات</t>
  </si>
  <si>
    <t xml:space="preserve">تنفيذ جزء من العقد للعميل </t>
  </si>
  <si>
    <t xml:space="preserve">SALES  order </t>
  </si>
  <si>
    <t>إيرادات تنفيذ أعمال من المشروع</t>
  </si>
  <si>
    <t xml:space="preserve">تحميل المشروع بالتكاليف  بنسبة المنفذ من العقد </t>
  </si>
  <si>
    <t>مواد خام</t>
  </si>
  <si>
    <t>هندسة وتصميم</t>
  </si>
  <si>
    <t>أجور عمالة</t>
  </si>
  <si>
    <t>JV008</t>
  </si>
  <si>
    <t xml:space="preserve">قفل جزء من حساب العميل   بالدفعة المحصلة  </t>
  </si>
  <si>
    <t>JV009</t>
  </si>
  <si>
    <t xml:space="preserve">تحصيل المتبقي من البنك </t>
  </si>
  <si>
    <t>JV0010</t>
  </si>
  <si>
    <t>JV0011</t>
  </si>
  <si>
    <t>JV0012</t>
  </si>
  <si>
    <t>ضرائب قيمة مضافة مستحقة</t>
  </si>
  <si>
    <t>مصلحة الضرائب المصرية – قيمة مضافة</t>
  </si>
  <si>
    <t>Diff</t>
  </si>
  <si>
    <t xml:space="preserve">sub account </t>
  </si>
  <si>
    <t>بنك مصر(حسب طريقة الدفع)</t>
  </si>
  <si>
    <t>بنك مصر(طريقة الدفع)</t>
  </si>
  <si>
    <t>ضرائب خصم وإضافة</t>
  </si>
  <si>
    <t>مصلحة الضرائب المصرية – ضرائب الخصم والإضافة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</si>
</sst>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0">
    <xf numFmtId="0" fontId="0" fillId="0" borderId="0" xfId="0"/>
    <xf numFmtId="164" fontId="0" fillId="0" borderId="0" xfId="1" applyFont="1"/>
    <xf numFmtId="0" fontId="0" fillId="0" borderId="0" xfId="0" applyAlignment="1">
      <alignment horizontal="center"/>
    </xf>
    <xf numFmtId="0" fontId="0" fillId="0" borderId="11" xfId="0" applyBorder="1"/>
    <xf numFmtId="3" fontId="0" fillId="0" borderId="11" xfId="0" applyNumberFormat="1" applyBorder="1"/>
    <xf numFmtId="164" fontId="0" fillId="0" borderId="11" xfId="1" applyFont="1" applyBorder="1"/>
    <xf numFmtId="0" fontId="0" fillId="0" borderId="13" xfId="0" applyBorder="1"/>
    <xf numFmtId="3" fontId="0" fillId="0" borderId="13" xfId="0" applyNumberFormat="1" applyBorder="1"/>
    <xf numFmtId="164" fontId="0" fillId="0" borderId="13" xfId="1" applyFont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3" fontId="0" fillId="0" borderId="0" xfId="0" applyNumberFormat="1"/>
    <xf numFmtId="164" fontId="0" fillId="0" borderId="0" xfId="1" applyFont="1" applyBorder="1"/>
    <xf numFmtId="0" fontId="0" fillId="0" borderId="18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0" fillId="0" borderId="16" xfId="1" applyFont="1" applyBorder="1" applyAlignment="1">
      <alignment horizontal="center"/>
    </xf>
    <xf numFmtId="164" fontId="0" fillId="0" borderId="17" xfId="1" applyFont="1" applyBorder="1" applyAlignment="1">
      <alignment horizontal="center"/>
    </xf>
    <xf numFmtId="164" fontId="0" fillId="0" borderId="18" xfId="1" applyFont="1" applyBorder="1" applyAlignment="1">
      <alignment horizontal="center"/>
    </xf>
    <xf numFmtId="164" fontId="0" fillId="0" borderId="0" xfId="1" applyFont="1" applyAlignment="1">
      <alignment horizontal="center"/>
    </xf>
    <xf numFmtId="0" fontId="0" fillId="0" borderId="0" xfId="0" applyAlignment="1">
      <alignment vertical="center"/>
    </xf>
    <xf numFmtId="0" fontId="0" fillId="33" borderId="10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164" fontId="0" fillId="33" borderId="10" xfId="1" applyFont="1" applyFill="1" applyBorder="1" applyAlignment="1">
      <alignment horizontal="center"/>
    </xf>
    <xf numFmtId="164" fontId="0" fillId="33" borderId="15" xfId="1" applyFont="1" applyFill="1" applyBorder="1" applyAlignment="1">
      <alignment horizontal="center"/>
    </xf>
    <xf numFmtId="0" fontId="0" fillId="33" borderId="10" xfId="0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34" borderId="10" xfId="0" applyFill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0" fontId="0" fillId="35" borderId="16" xfId="0" applyFill="1" applyBorder="1" applyAlignment="1">
      <alignment horizontal="center"/>
    </xf>
    <xf numFmtId="0" fontId="0" fillId="35" borderId="17" xfId="0" applyFill="1" applyBorder="1" applyAlignment="1">
      <alignment horizontal="center"/>
    </xf>
    <xf numFmtId="0" fontId="0" fillId="35" borderId="18" xfId="0" applyFill="1" applyBorder="1" applyAlignment="1">
      <alignment horizontal="center"/>
    </xf>
    <xf numFmtId="14" fontId="0" fillId="36" borderId="20" xfId="0" applyNumberFormat="1" applyFill="1" applyBorder="1" applyAlignment="1">
      <alignment horizontal="center"/>
    </xf>
    <xf numFmtId="0" fontId="0" fillId="36" borderId="20" xfId="0" applyFill="1" applyBorder="1" applyAlignment="1">
      <alignment horizontal="center"/>
    </xf>
    <xf numFmtId="0" fontId="0" fillId="36" borderId="20" xfId="0" applyFill="1" applyBorder="1"/>
    <xf numFmtId="3" fontId="0" fillId="36" borderId="20" xfId="0" applyNumberFormat="1" applyFill="1" applyBorder="1"/>
    <xf numFmtId="164" fontId="0" fillId="36" borderId="20" xfId="1" applyFont="1" applyFill="1" applyBorder="1" applyAlignment="1">
      <alignment horizontal="center"/>
    </xf>
    <xf numFmtId="164" fontId="0" fillId="36" borderId="20" xfId="1" applyFont="1" applyFill="1" applyBorder="1"/>
    <xf numFmtId="0" fontId="0" fillId="36" borderId="20" xfId="0" applyFill="1" applyBorder="1" applyAlignment="1">
      <alignment horizontal="center" vertical="center"/>
    </xf>
    <xf numFmtId="14" fontId="0" fillId="36" borderId="18" xfId="0" applyNumberFormat="1" applyFill="1" applyBorder="1" applyAlignment="1">
      <alignment horizontal="center"/>
    </xf>
    <xf numFmtId="0" fontId="0" fillId="36" borderId="18" xfId="0" applyFill="1" applyBorder="1" applyAlignment="1">
      <alignment horizontal="center"/>
    </xf>
    <xf numFmtId="0" fontId="0" fillId="36" borderId="18" xfId="0" applyFill="1" applyBorder="1"/>
    <xf numFmtId="3" fontId="0" fillId="36" borderId="0" xfId="0" applyNumberFormat="1" applyFill="1"/>
    <xf numFmtId="0" fontId="0" fillId="36" borderId="0" xfId="0" applyFill="1"/>
    <xf numFmtId="164" fontId="0" fillId="36" borderId="18" xfId="1" applyFont="1" applyFill="1" applyBorder="1" applyAlignment="1">
      <alignment horizontal="center"/>
    </xf>
    <xf numFmtId="164" fontId="0" fillId="36" borderId="0" xfId="1" applyFont="1" applyFill="1" applyBorder="1"/>
    <xf numFmtId="14" fontId="0" fillId="36" borderId="17" xfId="0" applyNumberFormat="1" applyFill="1" applyBorder="1" applyAlignment="1">
      <alignment horizontal="center"/>
    </xf>
    <xf numFmtId="0" fontId="0" fillId="36" borderId="17" xfId="0" applyFill="1" applyBorder="1" applyAlignment="1">
      <alignment horizontal="center"/>
    </xf>
    <xf numFmtId="0" fontId="0" fillId="36" borderId="17" xfId="0" applyFill="1" applyBorder="1"/>
    <xf numFmtId="0" fontId="0" fillId="36" borderId="13" xfId="0" applyFill="1" applyBorder="1"/>
    <xf numFmtId="3" fontId="0" fillId="36" borderId="13" xfId="0" applyNumberFormat="1" applyFill="1" applyBorder="1"/>
    <xf numFmtId="164" fontId="0" fillId="36" borderId="17" xfId="1" applyFont="1" applyFill="1" applyBorder="1" applyAlignment="1">
      <alignment horizontal="center"/>
    </xf>
    <xf numFmtId="164" fontId="0" fillId="36" borderId="13" xfId="1" applyFont="1" applyFill="1" applyBorder="1"/>
    <xf numFmtId="14" fontId="0" fillId="36" borderId="16" xfId="0" applyNumberFormat="1" applyFill="1" applyBorder="1" applyAlignment="1">
      <alignment horizontal="center"/>
    </xf>
    <xf numFmtId="0" fontId="0" fillId="36" borderId="16" xfId="0" applyFill="1" applyBorder="1" applyAlignment="1">
      <alignment horizontal="center"/>
    </xf>
    <xf numFmtId="0" fontId="0" fillId="36" borderId="16" xfId="0" applyFill="1" applyBorder="1"/>
    <xf numFmtId="3" fontId="0" fillId="36" borderId="11" xfId="0" applyNumberFormat="1" applyFill="1" applyBorder="1"/>
    <xf numFmtId="0" fontId="0" fillId="36" borderId="11" xfId="0" applyFill="1" applyBorder="1"/>
    <xf numFmtId="164" fontId="0" fillId="36" borderId="16" xfId="1" applyFont="1" applyFill="1" applyBorder="1" applyAlignment="1">
      <alignment horizontal="center"/>
    </xf>
    <xf numFmtId="164" fontId="0" fillId="36" borderId="11" xfId="1" applyFont="1" applyFill="1" applyBorder="1"/>
    <xf numFmtId="3" fontId="0" fillId="36" borderId="0" xfId="0" applyNumberFormat="1" applyFill="1" applyBorder="1"/>
    <xf numFmtId="0" fontId="0" fillId="36" borderId="0" xfId="0" applyFill="1" applyBorder="1"/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6" borderId="20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6" borderId="18" xfId="0" applyFill="1" applyBorder="1" applyAlignment="1">
      <alignment horizontal="center" vertical="center"/>
    </xf>
    <xf numFmtId="0" fontId="0" fillId="36" borderId="17" xfId="0" applyFill="1" applyBorder="1" applyAlignment="1">
      <alignment horizontal="center" vertical="center"/>
    </xf>
    <xf numFmtId="0" fontId="0" fillId="36" borderId="16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6" borderId="14" xfId="0" applyFill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0"/>
  <sheetViews>
    <sheetView tabSelected="1" topLeftCell="B1" zoomScale="60" zoomScaleNormal="60" workbookViewId="0">
      <selection activeCell="P1" sqref="P1:P1048576"/>
    </sheetView>
  </sheetViews>
  <sheetFormatPr defaultRowHeight="13.8" x14ac:dyDescent="0.25"/>
  <cols>
    <col min="1" max="1" width="13.59765625" style="2" bestFit="1" customWidth="1"/>
    <col min="2" max="2" width="16.296875" style="2" bestFit="1" customWidth="1"/>
    <col min="3" max="3" width="11" bestFit="1" customWidth="1"/>
    <col min="4" max="4" width="11" customWidth="1"/>
    <col min="5" max="5" width="27.796875" bestFit="1" customWidth="1"/>
    <col min="6" max="6" width="13.796875" bestFit="1" customWidth="1"/>
    <col min="11" max="11" width="25.3984375" style="22" bestFit="1" customWidth="1"/>
    <col min="12" max="12" width="22" style="2" bestFit="1" customWidth="1"/>
    <col min="13" max="13" width="255.796875" style="1" hidden="1" customWidth="1"/>
    <col min="14" max="14" width="32" style="14" bestFit="1" customWidth="1"/>
    <col min="15" max="15" width="16.09765625" style="23" bestFit="1" customWidth="1"/>
    <col min="16" max="16" width="56.19921875" style="2" bestFit="1" customWidth="1"/>
    <col min="17" max="17" width="12.796875" style="2" bestFit="1" customWidth="1"/>
  </cols>
  <sheetData>
    <row r="2" spans="1:16" ht="14.4" thickBot="1" x14ac:dyDescent="0.3">
      <c r="J2" t="s">
        <v>58</v>
      </c>
      <c r="K2" s="22">
        <f>SUM(K4:K39)</f>
        <v>0</v>
      </c>
      <c r="L2" s="22">
        <f>SUM(L4:L39)</f>
        <v>0</v>
      </c>
    </row>
    <row r="3" spans="1:16" s="2" customFormat="1" ht="14.4" thickBot="1" x14ac:dyDescent="0.3">
      <c r="A3" s="31" t="s">
        <v>0</v>
      </c>
      <c r="B3" s="31" t="s">
        <v>1</v>
      </c>
      <c r="C3" s="31" t="s">
        <v>2</v>
      </c>
      <c r="D3" s="31" t="s">
        <v>59</v>
      </c>
      <c r="E3" s="31" t="s">
        <v>3</v>
      </c>
      <c r="F3" s="24" t="s">
        <v>4</v>
      </c>
      <c r="G3" s="24" t="s">
        <v>5</v>
      </c>
      <c r="H3" s="24" t="s">
        <v>6</v>
      </c>
      <c r="I3" s="25" t="s">
        <v>7</v>
      </c>
      <c r="J3" s="25" t="s">
        <v>8</v>
      </c>
      <c r="K3" s="26" t="s">
        <v>9</v>
      </c>
      <c r="L3" s="26" t="s">
        <v>10</v>
      </c>
      <c r="M3" s="27"/>
      <c r="N3" s="28" t="s">
        <v>11</v>
      </c>
      <c r="O3" s="28" t="s">
        <v>12</v>
      </c>
    </row>
    <row r="4" spans="1:16" x14ac:dyDescent="0.25">
      <c r="A4" s="32">
        <v>46298</v>
      </c>
      <c r="B4" s="9" t="s">
        <v>13</v>
      </c>
      <c r="C4" s="16">
        <v>11000001</v>
      </c>
      <c r="D4" s="16"/>
      <c r="E4" s="35" t="s">
        <v>60</v>
      </c>
      <c r="F4" s="9" t="s">
        <v>15</v>
      </c>
      <c r="G4" s="9" t="s">
        <v>16</v>
      </c>
      <c r="H4" s="9">
        <v>1</v>
      </c>
      <c r="I4" s="4">
        <v>10000</v>
      </c>
      <c r="J4" s="3"/>
      <c r="K4" s="19">
        <f>I4-J4</f>
        <v>10000</v>
      </c>
      <c r="L4" s="19">
        <f>K4*H4</f>
        <v>10000</v>
      </c>
      <c r="M4" s="5">
        <v>200000</v>
      </c>
      <c r="N4" s="68" t="s">
        <v>17</v>
      </c>
      <c r="O4" s="68" t="s">
        <v>18</v>
      </c>
    </row>
    <row r="5" spans="1:16" ht="14.4" thickBot="1" x14ac:dyDescent="0.3">
      <c r="A5" s="33">
        <v>46298</v>
      </c>
      <c r="B5" s="10" t="s">
        <v>13</v>
      </c>
      <c r="C5" s="17">
        <v>31000004</v>
      </c>
      <c r="D5" s="36">
        <v>1000</v>
      </c>
      <c r="E5" s="10" t="s">
        <v>19</v>
      </c>
      <c r="F5" s="10" t="s">
        <v>15</v>
      </c>
      <c r="G5" s="10" t="s">
        <v>16</v>
      </c>
      <c r="H5" s="10">
        <v>1</v>
      </c>
      <c r="I5" s="6"/>
      <c r="J5" s="7">
        <v>10000</v>
      </c>
      <c r="K5" s="20">
        <f>I5-J5</f>
        <v>-10000</v>
      </c>
      <c r="L5" s="20">
        <f>K5*H5</f>
        <v>-10000</v>
      </c>
      <c r="M5" s="8">
        <v>-200000</v>
      </c>
      <c r="N5" s="69"/>
      <c r="O5" s="69"/>
    </row>
    <row r="6" spans="1:16" x14ac:dyDescent="0.25">
      <c r="A6" s="32">
        <v>46298</v>
      </c>
      <c r="B6" s="9" t="s">
        <v>20</v>
      </c>
      <c r="C6" s="16">
        <v>11000006</v>
      </c>
      <c r="D6" s="35">
        <v>2000</v>
      </c>
      <c r="E6" s="9" t="s">
        <v>21</v>
      </c>
      <c r="F6" s="9" t="s">
        <v>15</v>
      </c>
      <c r="G6" s="9" t="s">
        <v>16</v>
      </c>
      <c r="H6" s="9">
        <v>1</v>
      </c>
      <c r="I6" s="4">
        <v>200000</v>
      </c>
      <c r="J6" s="3"/>
      <c r="K6" s="19">
        <v>200000</v>
      </c>
      <c r="L6" s="19">
        <v>200000</v>
      </c>
      <c r="M6" s="5">
        <v>200000</v>
      </c>
      <c r="N6" s="68" t="s">
        <v>22</v>
      </c>
      <c r="O6" s="68" t="s">
        <v>18</v>
      </c>
    </row>
    <row r="7" spans="1:16" ht="14.4" thickBot="1" x14ac:dyDescent="0.3">
      <c r="A7" s="34">
        <v>46298</v>
      </c>
      <c r="B7" s="13" t="s">
        <v>20</v>
      </c>
      <c r="C7" s="18">
        <v>11000001</v>
      </c>
      <c r="D7" s="18"/>
      <c r="E7" s="37" t="s">
        <v>61</v>
      </c>
      <c r="F7" s="13" t="s">
        <v>15</v>
      </c>
      <c r="G7" s="13" t="s">
        <v>16</v>
      </c>
      <c r="H7" s="13">
        <v>1</v>
      </c>
      <c r="J7" s="11">
        <v>200000</v>
      </c>
      <c r="K7" s="21">
        <v>-200000</v>
      </c>
      <c r="L7" s="21">
        <v>-200000</v>
      </c>
      <c r="M7" s="12" t="s">
        <v>23</v>
      </c>
      <c r="N7" s="70"/>
      <c r="O7" s="70"/>
    </row>
    <row r="8" spans="1:16" x14ac:dyDescent="0.25">
      <c r="A8" s="38">
        <v>46298</v>
      </c>
      <c r="B8" s="39" t="s">
        <v>24</v>
      </c>
      <c r="C8" s="40">
        <v>11000007</v>
      </c>
      <c r="D8" s="40"/>
      <c r="E8" s="39" t="s">
        <v>25</v>
      </c>
      <c r="F8" s="39" t="s">
        <v>15</v>
      </c>
      <c r="G8" s="39" t="s">
        <v>16</v>
      </c>
      <c r="H8" s="39">
        <v>1</v>
      </c>
      <c r="I8" s="41">
        <v>1500</v>
      </c>
      <c r="J8" s="40"/>
      <c r="K8" s="42">
        <f>I8-J8</f>
        <v>1500</v>
      </c>
      <c r="L8" s="42">
        <v>300000</v>
      </c>
      <c r="M8" s="43">
        <v>300000</v>
      </c>
      <c r="N8" s="71" t="s">
        <v>26</v>
      </c>
      <c r="O8" s="72" t="s">
        <v>27</v>
      </c>
    </row>
    <row r="9" spans="1:16" x14ac:dyDescent="0.25">
      <c r="A9" s="38">
        <v>46298</v>
      </c>
      <c r="B9" s="39" t="s">
        <v>24</v>
      </c>
      <c r="C9" s="40">
        <v>11000017</v>
      </c>
      <c r="D9" s="40"/>
      <c r="E9" s="39" t="s">
        <v>57</v>
      </c>
      <c r="F9" s="39" t="s">
        <v>15</v>
      </c>
      <c r="G9" s="39" t="s">
        <v>16</v>
      </c>
      <c r="H9" s="39">
        <v>1</v>
      </c>
      <c r="I9" s="41">
        <v>210</v>
      </c>
      <c r="J9" s="40"/>
      <c r="K9" s="42">
        <f t="shared" ref="K9:K13" si="0">I9-J9</f>
        <v>210</v>
      </c>
      <c r="L9" s="42">
        <v>42000</v>
      </c>
      <c r="M9" s="43"/>
      <c r="N9" s="71"/>
      <c r="O9" s="73"/>
    </row>
    <row r="10" spans="1:16" ht="14.4" thickBot="1" x14ac:dyDescent="0.3">
      <c r="A10" s="38">
        <v>46298</v>
      </c>
      <c r="B10" s="39" t="s">
        <v>24</v>
      </c>
      <c r="C10" s="40">
        <v>31000001</v>
      </c>
      <c r="D10" s="40"/>
      <c r="E10" s="39" t="s">
        <v>28</v>
      </c>
      <c r="F10" s="39" t="s">
        <v>15</v>
      </c>
      <c r="G10" s="39" t="s">
        <v>16</v>
      </c>
      <c r="H10" s="39">
        <v>1</v>
      </c>
      <c r="I10" s="40"/>
      <c r="J10" s="41">
        <v>1665</v>
      </c>
      <c r="K10" s="42">
        <f t="shared" si="0"/>
        <v>-1665</v>
      </c>
      <c r="L10" s="42">
        <v>-342000</v>
      </c>
      <c r="M10" s="43" t="s">
        <v>23</v>
      </c>
      <c r="N10" s="71"/>
      <c r="O10" s="74"/>
    </row>
    <row r="11" spans="1:16" x14ac:dyDescent="0.25">
      <c r="A11" s="38"/>
      <c r="B11" s="39"/>
      <c r="C11" s="40">
        <v>31000012</v>
      </c>
      <c r="D11" s="40"/>
      <c r="E11" s="39" t="s">
        <v>62</v>
      </c>
      <c r="F11" s="39"/>
      <c r="G11" s="39"/>
      <c r="H11" s="39"/>
      <c r="I11" s="40"/>
      <c r="J11" s="41">
        <v>45</v>
      </c>
      <c r="K11" s="42">
        <f t="shared" si="0"/>
        <v>-45</v>
      </c>
      <c r="L11" s="42"/>
      <c r="M11" s="43"/>
      <c r="N11" s="44"/>
      <c r="O11" s="30"/>
    </row>
    <row r="12" spans="1:16" x14ac:dyDescent="0.25">
      <c r="A12" s="45">
        <v>46298</v>
      </c>
      <c r="B12" s="46" t="s">
        <v>24</v>
      </c>
      <c r="C12" s="47">
        <v>11000009</v>
      </c>
      <c r="D12" s="47"/>
      <c r="E12" s="46" t="s">
        <v>29</v>
      </c>
      <c r="F12" s="46" t="s">
        <v>15</v>
      </c>
      <c r="G12" s="46" t="s">
        <v>16</v>
      </c>
      <c r="H12" s="46">
        <v>1</v>
      </c>
      <c r="I12" s="48">
        <v>1500</v>
      </c>
      <c r="J12" s="49"/>
      <c r="K12" s="42">
        <f t="shared" si="0"/>
        <v>1500</v>
      </c>
      <c r="L12" s="50">
        <v>300000</v>
      </c>
      <c r="M12" s="51">
        <v>300000</v>
      </c>
      <c r="N12" s="75" t="s">
        <v>30</v>
      </c>
      <c r="O12" s="70" t="s">
        <v>27</v>
      </c>
    </row>
    <row r="13" spans="1:16" ht="14.4" thickBot="1" x14ac:dyDescent="0.3">
      <c r="A13" s="52">
        <v>46298</v>
      </c>
      <c r="B13" s="53" t="s">
        <v>24</v>
      </c>
      <c r="C13" s="54">
        <v>11000007</v>
      </c>
      <c r="D13" s="54"/>
      <c r="E13" s="53" t="s">
        <v>25</v>
      </c>
      <c r="F13" s="53" t="s">
        <v>15</v>
      </c>
      <c r="G13" s="53" t="s">
        <v>16</v>
      </c>
      <c r="H13" s="53">
        <v>1</v>
      </c>
      <c r="I13" s="55"/>
      <c r="J13" s="56">
        <v>1500</v>
      </c>
      <c r="K13" s="42">
        <f t="shared" si="0"/>
        <v>-1500</v>
      </c>
      <c r="L13" s="57">
        <v>-300000</v>
      </c>
      <c r="M13" s="58" t="s">
        <v>23</v>
      </c>
      <c r="N13" s="76"/>
      <c r="O13" s="69"/>
    </row>
    <row r="14" spans="1:16" ht="14.4" thickBot="1" x14ac:dyDescent="0.3">
      <c r="A14" s="34">
        <v>46298</v>
      </c>
      <c r="B14" s="13" t="s">
        <v>31</v>
      </c>
      <c r="C14" s="18">
        <v>30000001</v>
      </c>
      <c r="D14" s="18"/>
      <c r="E14" s="13" t="s">
        <v>28</v>
      </c>
      <c r="F14" s="13" t="s">
        <v>15</v>
      </c>
      <c r="G14" s="13" t="s">
        <v>16</v>
      </c>
      <c r="H14" s="13">
        <v>1</v>
      </c>
      <c r="I14" s="11">
        <v>1000</v>
      </c>
      <c r="K14" s="21">
        <v>200000</v>
      </c>
      <c r="L14" s="21">
        <v>200000</v>
      </c>
      <c r="M14" s="12">
        <v>200000</v>
      </c>
      <c r="N14" s="70" t="s">
        <v>32</v>
      </c>
      <c r="O14" s="70" t="s">
        <v>27</v>
      </c>
    </row>
    <row r="15" spans="1:16" ht="14.4" thickBot="1" x14ac:dyDescent="0.3">
      <c r="A15" s="33">
        <v>46298</v>
      </c>
      <c r="B15" s="10" t="s">
        <v>31</v>
      </c>
      <c r="C15" s="17">
        <v>11000006</v>
      </c>
      <c r="D15" s="17"/>
      <c r="E15" s="10" t="s">
        <v>21</v>
      </c>
      <c r="F15" s="10" t="s">
        <v>15</v>
      </c>
      <c r="G15" s="10" t="s">
        <v>16</v>
      </c>
      <c r="H15" s="10">
        <v>1</v>
      </c>
      <c r="I15" s="6"/>
      <c r="J15" s="7">
        <v>1000</v>
      </c>
      <c r="K15" s="20">
        <v>-200000</v>
      </c>
      <c r="L15" s="20">
        <v>-200000</v>
      </c>
      <c r="M15" s="8" t="s">
        <v>23</v>
      </c>
      <c r="N15" s="69"/>
      <c r="O15" s="69"/>
      <c r="P15" s="15"/>
    </row>
    <row r="16" spans="1:16" x14ac:dyDescent="0.25">
      <c r="A16" s="32">
        <v>46298</v>
      </c>
      <c r="B16" s="9" t="s">
        <v>34</v>
      </c>
      <c r="C16" s="16">
        <v>30000001</v>
      </c>
      <c r="D16" s="16"/>
      <c r="E16" s="9" t="s">
        <v>28</v>
      </c>
      <c r="F16" s="9" t="s">
        <v>15</v>
      </c>
      <c r="G16" s="9" t="s">
        <v>16</v>
      </c>
      <c r="H16" s="9">
        <v>1</v>
      </c>
      <c r="I16" s="4">
        <v>710</v>
      </c>
      <c r="J16" s="3"/>
      <c r="K16" s="19">
        <v>100000</v>
      </c>
      <c r="L16" s="19">
        <v>100000</v>
      </c>
      <c r="M16" s="5"/>
      <c r="N16" s="68" t="s">
        <v>33</v>
      </c>
      <c r="O16" s="68" t="s">
        <v>27</v>
      </c>
    </row>
    <row r="17" spans="1:16" ht="14.4" thickBot="1" x14ac:dyDescent="0.3">
      <c r="A17" s="33">
        <v>46298</v>
      </c>
      <c r="B17" s="10" t="s">
        <v>34</v>
      </c>
      <c r="C17" s="17">
        <v>11000001</v>
      </c>
      <c r="D17" s="17"/>
      <c r="E17" s="10" t="s">
        <v>14</v>
      </c>
      <c r="F17" s="10" t="s">
        <v>15</v>
      </c>
      <c r="G17" s="10" t="s">
        <v>16</v>
      </c>
      <c r="H17" s="10">
        <v>1</v>
      </c>
      <c r="I17" s="6"/>
      <c r="J17" s="7">
        <v>710</v>
      </c>
      <c r="K17" s="20">
        <v>-100000</v>
      </c>
      <c r="L17" s="20">
        <v>-100000</v>
      </c>
      <c r="M17" s="8"/>
      <c r="N17" s="69"/>
      <c r="O17" s="69"/>
    </row>
    <row r="18" spans="1:16" x14ac:dyDescent="0.25">
      <c r="A18" s="32">
        <v>46298</v>
      </c>
      <c r="B18" s="9" t="s">
        <v>37</v>
      </c>
      <c r="C18" s="16">
        <v>11000011</v>
      </c>
      <c r="D18" s="16"/>
      <c r="E18" s="9" t="s">
        <v>35</v>
      </c>
      <c r="F18" s="9" t="s">
        <v>15</v>
      </c>
      <c r="G18" s="9" t="s">
        <v>16</v>
      </c>
      <c r="H18" s="9">
        <v>1</v>
      </c>
      <c r="I18" s="4">
        <v>50000</v>
      </c>
      <c r="J18" s="3"/>
      <c r="K18" s="19">
        <v>50000</v>
      </c>
      <c r="L18" s="19">
        <v>50000</v>
      </c>
      <c r="M18" s="5">
        <v>50000</v>
      </c>
      <c r="N18" s="68" t="s">
        <v>36</v>
      </c>
      <c r="O18" s="68" t="s">
        <v>27</v>
      </c>
    </row>
    <row r="19" spans="1:16" ht="14.4" thickBot="1" x14ac:dyDescent="0.3">
      <c r="A19" s="33">
        <v>46298</v>
      </c>
      <c r="B19" s="10" t="str">
        <f>B18</f>
        <v>JV006</v>
      </c>
      <c r="C19" s="17">
        <v>30000001</v>
      </c>
      <c r="D19" s="17"/>
      <c r="E19" s="10" t="s">
        <v>28</v>
      </c>
      <c r="F19" s="10" t="s">
        <v>15</v>
      </c>
      <c r="G19" s="10" t="s">
        <v>16</v>
      </c>
      <c r="H19" s="10">
        <v>1</v>
      </c>
      <c r="I19" s="6"/>
      <c r="J19" s="7">
        <v>50000</v>
      </c>
      <c r="K19" s="20">
        <v>-50000</v>
      </c>
      <c r="L19" s="20">
        <v>-50000</v>
      </c>
      <c r="M19" s="8" t="s">
        <v>23</v>
      </c>
      <c r="N19" s="69"/>
      <c r="O19" s="69"/>
    </row>
    <row r="20" spans="1:16" x14ac:dyDescent="0.25">
      <c r="A20" s="32">
        <v>46298</v>
      </c>
      <c r="B20" s="9" t="s">
        <v>40</v>
      </c>
      <c r="C20" s="16">
        <v>30000001</v>
      </c>
      <c r="D20" s="16"/>
      <c r="E20" s="9" t="s">
        <v>28</v>
      </c>
      <c r="F20" s="9" t="s">
        <v>15</v>
      </c>
      <c r="G20" s="9" t="s">
        <v>16</v>
      </c>
      <c r="H20" s="9">
        <v>1</v>
      </c>
      <c r="I20" s="4">
        <v>50000</v>
      </c>
      <c r="J20" s="3"/>
      <c r="K20" s="19">
        <v>50000</v>
      </c>
      <c r="L20" s="19">
        <v>50000</v>
      </c>
      <c r="M20" s="5">
        <v>50000</v>
      </c>
      <c r="N20" s="68" t="s">
        <v>38</v>
      </c>
      <c r="O20" s="68" t="s">
        <v>27</v>
      </c>
    </row>
    <row r="21" spans="1:16" ht="14.4" thickBot="1" x14ac:dyDescent="0.3">
      <c r="A21" s="33">
        <v>46298</v>
      </c>
      <c r="B21" s="13" t="s">
        <v>40</v>
      </c>
      <c r="C21" s="17">
        <v>11000001</v>
      </c>
      <c r="D21" s="17"/>
      <c r="E21" s="10" t="s">
        <v>14</v>
      </c>
      <c r="F21" s="10" t="s">
        <v>15</v>
      </c>
      <c r="G21" s="10" t="s">
        <v>16</v>
      </c>
      <c r="H21" s="10">
        <v>1</v>
      </c>
      <c r="I21" s="6"/>
      <c r="J21" s="7">
        <v>50000</v>
      </c>
      <c r="K21" s="20">
        <v>-50000</v>
      </c>
      <c r="L21" s="20">
        <v>-50000</v>
      </c>
      <c r="M21" s="8" t="s">
        <v>23</v>
      </c>
      <c r="N21" s="69"/>
      <c r="O21" s="69"/>
    </row>
    <row r="22" spans="1:16" x14ac:dyDescent="0.25">
      <c r="A22" s="32">
        <v>46298</v>
      </c>
      <c r="B22" s="9" t="s">
        <v>49</v>
      </c>
      <c r="C22" s="16">
        <v>11000010</v>
      </c>
      <c r="D22" s="16"/>
      <c r="E22" s="9" t="s">
        <v>39</v>
      </c>
      <c r="F22" s="9" t="s">
        <v>15</v>
      </c>
      <c r="G22" s="9" t="s">
        <v>16</v>
      </c>
      <c r="H22" s="9">
        <v>1</v>
      </c>
      <c r="I22" s="4">
        <v>50000</v>
      </c>
      <c r="J22" s="3"/>
      <c r="K22" s="19">
        <v>50000</v>
      </c>
      <c r="L22" s="19">
        <v>50000</v>
      </c>
      <c r="M22" s="5">
        <v>50000</v>
      </c>
      <c r="N22" s="68" t="s">
        <v>36</v>
      </c>
      <c r="O22" s="68" t="s">
        <v>27</v>
      </c>
    </row>
    <row r="23" spans="1:16" ht="14.4" thickBot="1" x14ac:dyDescent="0.3">
      <c r="A23" s="33">
        <v>46298</v>
      </c>
      <c r="B23" s="10" t="s">
        <v>49</v>
      </c>
      <c r="C23" s="17">
        <v>30000001</v>
      </c>
      <c r="D23" s="17"/>
      <c r="E23" s="10" t="s">
        <v>28</v>
      </c>
      <c r="F23" s="10" t="s">
        <v>15</v>
      </c>
      <c r="G23" s="10" t="s">
        <v>16</v>
      </c>
      <c r="H23" s="10">
        <v>1</v>
      </c>
      <c r="I23" s="6"/>
      <c r="J23" s="7">
        <v>50000</v>
      </c>
      <c r="K23" s="20">
        <v>-50000</v>
      </c>
      <c r="L23" s="20">
        <v>-50000</v>
      </c>
      <c r="M23" s="8" t="s">
        <v>23</v>
      </c>
      <c r="N23" s="69"/>
      <c r="O23" s="69"/>
    </row>
    <row r="24" spans="1:16" x14ac:dyDescent="0.25">
      <c r="A24" s="32">
        <v>46298</v>
      </c>
      <c r="B24" s="9" t="s">
        <v>51</v>
      </c>
      <c r="C24" s="16">
        <v>30000001</v>
      </c>
      <c r="D24" s="16"/>
      <c r="E24" s="9" t="s">
        <v>28</v>
      </c>
      <c r="F24" s="9" t="s">
        <v>15</v>
      </c>
      <c r="G24" s="9" t="s">
        <v>16</v>
      </c>
      <c r="H24" s="9">
        <v>1</v>
      </c>
      <c r="I24" s="4">
        <v>50000</v>
      </c>
      <c r="J24" s="3"/>
      <c r="K24" s="19">
        <v>50000</v>
      </c>
      <c r="L24" s="19">
        <v>50000</v>
      </c>
      <c r="M24" s="5">
        <v>50000</v>
      </c>
      <c r="N24" s="68" t="s">
        <v>38</v>
      </c>
      <c r="O24" s="68" t="s">
        <v>27</v>
      </c>
    </row>
    <row r="25" spans="1:16" ht="14.4" thickBot="1" x14ac:dyDescent="0.3">
      <c r="A25" s="34">
        <v>46298</v>
      </c>
      <c r="B25" s="13" t="s">
        <v>51</v>
      </c>
      <c r="C25" s="18">
        <v>11000001</v>
      </c>
      <c r="D25" s="18"/>
      <c r="E25" s="13" t="s">
        <v>14</v>
      </c>
      <c r="F25" s="13" t="s">
        <v>15</v>
      </c>
      <c r="G25" s="13" t="s">
        <v>16</v>
      </c>
      <c r="H25" s="13">
        <v>1</v>
      </c>
      <c r="J25" s="11">
        <v>50000</v>
      </c>
      <c r="K25" s="21">
        <v>-50000</v>
      </c>
      <c r="L25" s="21">
        <v>-50000</v>
      </c>
      <c r="M25" s="12" t="s">
        <v>23</v>
      </c>
      <c r="N25" s="70"/>
      <c r="O25" s="70"/>
    </row>
    <row r="26" spans="1:16" x14ac:dyDescent="0.25">
      <c r="A26" s="59">
        <v>46298</v>
      </c>
      <c r="B26" s="60" t="s">
        <v>53</v>
      </c>
      <c r="C26" s="61">
        <v>11000011</v>
      </c>
      <c r="D26" s="61"/>
      <c r="E26" s="60" t="s">
        <v>41</v>
      </c>
      <c r="F26" s="60" t="s">
        <v>15</v>
      </c>
      <c r="G26" s="60" t="s">
        <v>16</v>
      </c>
      <c r="H26" s="60">
        <v>1</v>
      </c>
      <c r="I26" s="62">
        <v>220000</v>
      </c>
      <c r="J26" s="63"/>
      <c r="K26" s="64">
        <v>221000</v>
      </c>
      <c r="L26" s="64">
        <v>221000</v>
      </c>
      <c r="M26" s="65">
        <v>200000</v>
      </c>
      <c r="N26" s="77" t="s">
        <v>42</v>
      </c>
      <c r="O26" s="72" t="s">
        <v>43</v>
      </c>
    </row>
    <row r="27" spans="1:16" x14ac:dyDescent="0.25">
      <c r="A27" s="45"/>
      <c r="B27" s="46"/>
      <c r="C27" s="49">
        <v>11000019</v>
      </c>
      <c r="D27" s="49"/>
      <c r="E27" s="49" t="s">
        <v>63</v>
      </c>
      <c r="F27" s="46"/>
      <c r="G27" s="46"/>
      <c r="H27" s="46"/>
      <c r="I27" s="66">
        <v>1000</v>
      </c>
      <c r="J27" s="67"/>
      <c r="K27" s="50"/>
      <c r="L27" s="50"/>
      <c r="M27" s="51"/>
      <c r="N27" s="75"/>
      <c r="O27" s="73"/>
    </row>
    <row r="28" spans="1:16" x14ac:dyDescent="0.25">
      <c r="A28" s="45">
        <v>46298</v>
      </c>
      <c r="B28" s="46" t="s">
        <v>53</v>
      </c>
      <c r="C28" s="47">
        <v>31000010</v>
      </c>
      <c r="D28" s="47"/>
      <c r="E28" s="46" t="s">
        <v>56</v>
      </c>
      <c r="F28" s="46" t="s">
        <v>15</v>
      </c>
      <c r="G28" s="46" t="s">
        <v>16</v>
      </c>
      <c r="H28" s="46">
        <v>1</v>
      </c>
      <c r="I28" s="48"/>
      <c r="J28" s="49">
        <v>21000</v>
      </c>
      <c r="K28" s="50">
        <v>-21000</v>
      </c>
      <c r="L28" s="50">
        <v>-21000</v>
      </c>
      <c r="M28" s="51"/>
      <c r="N28" s="75"/>
      <c r="O28" s="73"/>
    </row>
    <row r="29" spans="1:16" ht="14.4" thickBot="1" x14ac:dyDescent="0.3">
      <c r="A29" s="52">
        <v>46298</v>
      </c>
      <c r="B29" s="53" t="s">
        <v>53</v>
      </c>
      <c r="C29" s="54">
        <v>40000001</v>
      </c>
      <c r="D29" s="54"/>
      <c r="E29" s="53" t="s">
        <v>44</v>
      </c>
      <c r="F29" s="53" t="s">
        <v>15</v>
      </c>
      <c r="G29" s="53" t="s">
        <v>16</v>
      </c>
      <c r="H29" s="53">
        <v>1</v>
      </c>
      <c r="I29" s="55"/>
      <c r="J29" s="56">
        <v>200000</v>
      </c>
      <c r="K29" s="57">
        <v>-200000</v>
      </c>
      <c r="L29" s="57">
        <v>-200000</v>
      </c>
      <c r="M29" s="58" t="s">
        <v>23</v>
      </c>
      <c r="N29" s="76"/>
      <c r="O29" s="74"/>
    </row>
    <row r="30" spans="1:16" x14ac:dyDescent="0.25">
      <c r="A30" s="45">
        <v>46298</v>
      </c>
      <c r="B30" s="46" t="s">
        <v>54</v>
      </c>
      <c r="C30" s="47">
        <v>11000009</v>
      </c>
      <c r="D30" s="47"/>
      <c r="E30" s="46" t="s">
        <v>29</v>
      </c>
      <c r="F30" s="46" t="s">
        <v>15</v>
      </c>
      <c r="G30" s="46" t="s">
        <v>16</v>
      </c>
      <c r="H30" s="46">
        <v>1</v>
      </c>
      <c r="I30" s="48">
        <v>50000</v>
      </c>
      <c r="J30" s="49"/>
      <c r="K30" s="50">
        <v>50000</v>
      </c>
      <c r="L30" s="50">
        <v>50000</v>
      </c>
      <c r="M30" s="51"/>
      <c r="N30" s="77" t="s">
        <v>45</v>
      </c>
      <c r="O30" s="78" t="s">
        <v>43</v>
      </c>
      <c r="P30" s="68"/>
    </row>
    <row r="31" spans="1:16" x14ac:dyDescent="0.25">
      <c r="A31" s="45">
        <v>46298</v>
      </c>
      <c r="B31" s="46" t="s">
        <v>54</v>
      </c>
      <c r="C31" s="47">
        <v>11000011</v>
      </c>
      <c r="D31" s="47"/>
      <c r="E31" s="46" t="s">
        <v>35</v>
      </c>
      <c r="F31" s="46" t="s">
        <v>15</v>
      </c>
      <c r="G31" s="46" t="s">
        <v>16</v>
      </c>
      <c r="H31" s="46">
        <v>1</v>
      </c>
      <c r="I31" s="49">
        <v>50000</v>
      </c>
      <c r="J31" s="48"/>
      <c r="K31" s="50">
        <v>50000</v>
      </c>
      <c r="L31" s="50">
        <v>50000</v>
      </c>
      <c r="M31" s="51"/>
      <c r="N31" s="75"/>
      <c r="O31" s="78"/>
      <c r="P31" s="70"/>
    </row>
    <row r="32" spans="1:16" x14ac:dyDescent="0.25">
      <c r="A32" s="45">
        <v>46298</v>
      </c>
      <c r="B32" s="46" t="s">
        <v>54</v>
      </c>
      <c r="C32" s="47">
        <v>11000010</v>
      </c>
      <c r="D32" s="47"/>
      <c r="E32" s="46" t="s">
        <v>39</v>
      </c>
      <c r="F32" s="46" t="s">
        <v>15</v>
      </c>
      <c r="G32" s="46" t="s">
        <v>16</v>
      </c>
      <c r="H32" s="46">
        <v>1</v>
      </c>
      <c r="I32" s="48">
        <v>50000</v>
      </c>
      <c r="J32" s="49"/>
      <c r="K32" s="50">
        <v>50000</v>
      </c>
      <c r="L32" s="50">
        <v>50000</v>
      </c>
      <c r="M32" s="51"/>
      <c r="N32" s="75"/>
      <c r="O32" s="78"/>
      <c r="P32" s="70"/>
    </row>
    <row r="33" spans="1:16" x14ac:dyDescent="0.25">
      <c r="A33" s="45">
        <v>46298</v>
      </c>
      <c r="B33" s="46" t="s">
        <v>54</v>
      </c>
      <c r="C33" s="47">
        <v>50000001</v>
      </c>
      <c r="D33" s="47"/>
      <c r="E33" s="46" t="s">
        <v>46</v>
      </c>
      <c r="F33" s="46" t="s">
        <v>15</v>
      </c>
      <c r="G33" s="46" t="s">
        <v>16</v>
      </c>
      <c r="H33" s="46">
        <v>1</v>
      </c>
      <c r="I33" s="49"/>
      <c r="J33" s="48">
        <v>50000</v>
      </c>
      <c r="K33" s="50">
        <v>-50000</v>
      </c>
      <c r="L33" s="50">
        <v>-50000</v>
      </c>
      <c r="M33" s="51"/>
      <c r="N33" s="75"/>
      <c r="O33" s="78"/>
      <c r="P33" s="70"/>
    </row>
    <row r="34" spans="1:16" x14ac:dyDescent="0.25">
      <c r="A34" s="45">
        <v>46298</v>
      </c>
      <c r="B34" s="46" t="s">
        <v>54</v>
      </c>
      <c r="C34" s="47">
        <v>50000003</v>
      </c>
      <c r="D34" s="47"/>
      <c r="E34" s="46" t="s">
        <v>47</v>
      </c>
      <c r="F34" s="46" t="s">
        <v>15</v>
      </c>
      <c r="G34" s="46" t="s">
        <v>16</v>
      </c>
      <c r="H34" s="46">
        <v>1</v>
      </c>
      <c r="I34" s="48"/>
      <c r="J34" s="49">
        <v>50000</v>
      </c>
      <c r="K34" s="50">
        <v>-50000</v>
      </c>
      <c r="L34" s="50">
        <v>-50000</v>
      </c>
      <c r="M34" s="51"/>
      <c r="N34" s="75"/>
      <c r="O34" s="78"/>
      <c r="P34" s="70"/>
    </row>
    <row r="35" spans="1:16" ht="14.4" thickBot="1" x14ac:dyDescent="0.3">
      <c r="A35" s="52">
        <v>46299</v>
      </c>
      <c r="B35" s="53" t="s">
        <v>54</v>
      </c>
      <c r="C35" s="54">
        <v>50000002</v>
      </c>
      <c r="D35" s="54"/>
      <c r="E35" s="53" t="s">
        <v>48</v>
      </c>
      <c r="F35" s="53" t="s">
        <v>15</v>
      </c>
      <c r="G35" s="53" t="s">
        <v>16</v>
      </c>
      <c r="H35" s="53">
        <v>1</v>
      </c>
      <c r="I35" s="55"/>
      <c r="J35" s="56">
        <v>50000</v>
      </c>
      <c r="K35" s="57">
        <v>-50000</v>
      </c>
      <c r="L35" s="57">
        <v>-50000</v>
      </c>
      <c r="M35" s="58"/>
      <c r="N35" s="76"/>
      <c r="O35" s="79"/>
      <c r="P35" s="69"/>
    </row>
    <row r="36" spans="1:16" x14ac:dyDescent="0.25">
      <c r="A36" s="34">
        <v>46298</v>
      </c>
      <c r="B36" s="13" t="s">
        <v>55</v>
      </c>
      <c r="C36" s="18">
        <v>31000004</v>
      </c>
      <c r="D36" s="18"/>
      <c r="E36" s="13" t="s">
        <v>19</v>
      </c>
      <c r="F36" s="13" t="s">
        <v>15</v>
      </c>
      <c r="G36" s="13" t="s">
        <v>16</v>
      </c>
      <c r="H36" s="13">
        <v>1</v>
      </c>
      <c r="I36" s="11">
        <v>100000</v>
      </c>
      <c r="K36" s="21">
        <v>100000</v>
      </c>
      <c r="L36" s="21">
        <v>100000</v>
      </c>
      <c r="M36" s="12">
        <v>100000</v>
      </c>
      <c r="N36" s="70" t="s">
        <v>50</v>
      </c>
      <c r="O36" s="70" t="s">
        <v>43</v>
      </c>
    </row>
    <row r="37" spans="1:16" ht="14.4" thickBot="1" x14ac:dyDescent="0.3">
      <c r="A37" s="33">
        <v>46298</v>
      </c>
      <c r="B37" s="10" t="s">
        <v>55</v>
      </c>
      <c r="C37" s="17">
        <v>11000011</v>
      </c>
      <c r="D37" s="17"/>
      <c r="E37" s="10" t="s">
        <v>41</v>
      </c>
      <c r="F37" s="10" t="s">
        <v>15</v>
      </c>
      <c r="G37" s="10" t="s">
        <v>16</v>
      </c>
      <c r="H37" s="10">
        <v>1</v>
      </c>
      <c r="I37" s="6"/>
      <c r="J37" s="7">
        <v>100000</v>
      </c>
      <c r="K37" s="20">
        <v>-100000</v>
      </c>
      <c r="L37" s="20">
        <v>-100000</v>
      </c>
      <c r="M37" s="8" t="s">
        <v>23</v>
      </c>
      <c r="N37" s="69"/>
      <c r="O37" s="69"/>
    </row>
    <row r="38" spans="1:16" x14ac:dyDescent="0.25">
      <c r="A38" s="32">
        <v>46298</v>
      </c>
      <c r="B38" s="9" t="s">
        <v>55</v>
      </c>
      <c r="C38" s="16">
        <v>11000001</v>
      </c>
      <c r="D38" s="16"/>
      <c r="E38" s="9" t="s">
        <v>14</v>
      </c>
      <c r="F38" s="9" t="s">
        <v>15</v>
      </c>
      <c r="G38" s="9" t="s">
        <v>16</v>
      </c>
      <c r="H38" s="9">
        <v>1</v>
      </c>
      <c r="I38" s="4">
        <v>120000</v>
      </c>
      <c r="J38" s="3"/>
      <c r="K38" s="19">
        <v>100000</v>
      </c>
      <c r="L38" s="19">
        <v>100000</v>
      </c>
      <c r="M38" s="5">
        <v>100000</v>
      </c>
      <c r="N38" s="68" t="s">
        <v>52</v>
      </c>
      <c r="O38" s="68" t="s">
        <v>43</v>
      </c>
    </row>
    <row r="39" spans="1:16" ht="14.4" thickBot="1" x14ac:dyDescent="0.3">
      <c r="A39" s="33">
        <v>46298</v>
      </c>
      <c r="B39" s="10" t="s">
        <v>55</v>
      </c>
      <c r="C39" s="17">
        <v>11000011</v>
      </c>
      <c r="D39" s="17"/>
      <c r="E39" s="10" t="s">
        <v>41</v>
      </c>
      <c r="F39" s="10" t="s">
        <v>15</v>
      </c>
      <c r="G39" s="10" t="s">
        <v>16</v>
      </c>
      <c r="H39" s="10">
        <v>1</v>
      </c>
      <c r="I39" s="6"/>
      <c r="J39" s="7">
        <v>120000</v>
      </c>
      <c r="K39" s="20">
        <v>-100000</v>
      </c>
      <c r="L39" s="20">
        <v>-100000</v>
      </c>
      <c r="M39" s="8" t="s">
        <v>23</v>
      </c>
      <c r="N39" s="69"/>
      <c r="O39" s="69"/>
    </row>
    <row r="40" spans="1:16" x14ac:dyDescent="0.25">
      <c r="K40" s="29"/>
      <c r="L40" s="29"/>
    </row>
  </sheetData>
  <mergeCells count="29">
    <mergeCell ref="N38:N39"/>
    <mergeCell ref="O38:O39"/>
    <mergeCell ref="N30:N35"/>
    <mergeCell ref="O30:O35"/>
    <mergeCell ref="P30:P35"/>
    <mergeCell ref="N36:N37"/>
    <mergeCell ref="O36:O37"/>
    <mergeCell ref="N24:N25"/>
    <mergeCell ref="O24:O25"/>
    <mergeCell ref="N26:N29"/>
    <mergeCell ref="O26:O29"/>
    <mergeCell ref="N18:N19"/>
    <mergeCell ref="O18:O19"/>
    <mergeCell ref="N20:N21"/>
    <mergeCell ref="O20:O21"/>
    <mergeCell ref="N22:N23"/>
    <mergeCell ref="O22:O23"/>
    <mergeCell ref="N12:N13"/>
    <mergeCell ref="O12:O13"/>
    <mergeCell ref="N14:N15"/>
    <mergeCell ref="O14:O15"/>
    <mergeCell ref="N16:N17"/>
    <mergeCell ref="O16:O17"/>
    <mergeCell ref="O4:O5"/>
    <mergeCell ref="N4:N5"/>
    <mergeCell ref="N6:N7"/>
    <mergeCell ref="O6:O7"/>
    <mergeCell ref="N8:N10"/>
    <mergeCell ref="O8:O10"/>
  </mergeCells>
  <conditionalFormatting sqref="K2:L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AUTOMATIC ENTERIES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Afaf Mohamed</dc:creator>
  <cp:lastModifiedBy>Lenovo</cp:lastModifiedBy>
  <dcterms:created xsi:type="dcterms:W3CDTF">2026-10-03T08:25:51Z</dcterms:created>
  <dcterms:modified xsi:type="dcterms:W3CDTF">2026-10-04T18:10:04Z</dcterms:modified>
</cp:coreProperties>
</file>