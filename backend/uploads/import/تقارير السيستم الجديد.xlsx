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personal\leopard\تقارير ليوبارد\"/>
    </mc:Choice>
  </mc:AlternateContent>
  <xr:revisionPtr revIDLastSave="0" documentId="13_ncr:1_{7A62ACB3-E42C-4CA4-89CA-D2C7466AB79E}" xr6:coauthVersionLast="47" xr6:coauthVersionMax="47" xr10:uidLastSave="{00000000-0000-0000-0000-000000000000}"/>
  <bookViews>
    <workbookView xWindow="-108" yWindow="-108" windowWidth="23256" windowHeight="12576" firstSheet="2" activeTab="6" xr2:uid="{00000000-000D-0000-FFFF-FFFF00000000}"/>
  </bookViews>
  <sheets>
    <sheet name="قائمة الدخل  فعلي بالمقارن" sheetId="1" r:id="rId1"/>
    <sheet name="قائمة الدخل  فعلي بتقديري " sheetId="2" state="hidden" r:id="rId2"/>
    <sheet name="Gross profit by Main cat" sheetId="3" r:id="rId3"/>
    <sheet name="Sheet4" sheetId="5" state="hidden" r:id="rId4"/>
    <sheet name="Sheet3" sheetId="4" state="hidden" r:id="rId5"/>
    <sheet name="SAles online or offline " sheetId="6" r:id="rId6"/>
    <sheet name="SAles  BY BRANCH " sheetId="7" r:id="rId7"/>
    <sheet name="eXPENSES  BY BRANCH Total" sheetId="8" state="hidden" r:id="rId8"/>
    <sheet name="eXPENSES  BY BRANCH  Details " sheetId="9" state="hidden" r:id="rId9"/>
    <sheet name="statement of financial position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0" l="1"/>
  <c r="F23" i="10" s="1"/>
  <c r="F17" i="10"/>
  <c r="F11" i="10"/>
  <c r="F5" i="10"/>
  <c r="F12" i="10" s="1"/>
  <c r="E22" i="10"/>
  <c r="E23" i="10" s="1"/>
  <c r="E17" i="10"/>
  <c r="E11" i="10"/>
  <c r="E5" i="10"/>
  <c r="D22" i="10"/>
  <c r="D23" i="10" s="1"/>
  <c r="C22" i="10"/>
  <c r="D17" i="10"/>
  <c r="D11" i="10"/>
  <c r="D5" i="10"/>
  <c r="C23" i="10"/>
  <c r="C17" i="10"/>
  <c r="C11" i="10"/>
  <c r="C12" i="10" s="1"/>
  <c r="C5" i="10"/>
  <c r="D15" i="1"/>
  <c r="E15" i="1"/>
  <c r="C15" i="1"/>
  <c r="D14" i="1"/>
  <c r="E14" i="1"/>
  <c r="C14" i="1"/>
  <c r="E12" i="9"/>
  <c r="D12" i="9"/>
  <c r="C12" i="9"/>
  <c r="E10" i="8"/>
  <c r="D10" i="8"/>
  <c r="C10" i="8"/>
  <c r="E10" i="7"/>
  <c r="D10" i="7"/>
  <c r="C10" i="7"/>
  <c r="D10" i="6"/>
  <c r="E10" i="6"/>
  <c r="C10" i="6"/>
  <c r="C9" i="3"/>
  <c r="E4" i="2"/>
  <c r="E5" i="2"/>
  <c r="E7" i="2"/>
  <c r="E8" i="2"/>
  <c r="E9" i="2"/>
  <c r="E10" i="2"/>
  <c r="E11" i="2"/>
  <c r="E3" i="2"/>
  <c r="D12" i="2"/>
  <c r="C5" i="2"/>
  <c r="C12" i="2" s="1"/>
  <c r="E12" i="2" s="1"/>
  <c r="C7" i="1"/>
  <c r="E12" i="10" l="1"/>
  <c r="C24" i="10"/>
  <c r="D12" i="10"/>
  <c r="E24" i="10"/>
  <c r="F24" i="10"/>
  <c r="F25" i="10" s="1"/>
  <c r="C25" i="10"/>
  <c r="E25" i="10"/>
  <c r="D24" i="10"/>
  <c r="D25" i="10" s="1"/>
</calcChain>
</file>

<file path=xl/sharedStrings.xml><?xml version="1.0" encoding="utf-8"?>
<sst xmlns="http://schemas.openxmlformats.org/spreadsheetml/2006/main" count="155" uniqueCount="79">
  <si>
    <t xml:space="preserve">Sales </t>
  </si>
  <si>
    <t>COGS</t>
  </si>
  <si>
    <t xml:space="preserve">Gross Profit </t>
  </si>
  <si>
    <t>Expenses</t>
  </si>
  <si>
    <t xml:space="preserve">Marketing </t>
  </si>
  <si>
    <t xml:space="preserve">Salaries </t>
  </si>
  <si>
    <t xml:space="preserve">Management expenses </t>
  </si>
  <si>
    <t xml:space="preserve">Net profit </t>
  </si>
  <si>
    <t xml:space="preserve">المبيعات </t>
  </si>
  <si>
    <t xml:space="preserve">تكلفة المبيعات </t>
  </si>
  <si>
    <t>مجمل الربح</t>
  </si>
  <si>
    <t>المصروفات :</t>
  </si>
  <si>
    <t xml:space="preserve">تسويق </t>
  </si>
  <si>
    <t xml:space="preserve">مرتبات </t>
  </si>
  <si>
    <t xml:space="preserve">مصروفات إدارية </t>
  </si>
  <si>
    <t>operating expenses ( rent,electric,water, hosting ,cleaning )</t>
  </si>
  <si>
    <t xml:space="preserve">مصروفات تشغيل </t>
  </si>
  <si>
    <t xml:space="preserve">Income statement </t>
  </si>
  <si>
    <t xml:space="preserve">Month/Q/Half year/ year </t>
  </si>
  <si>
    <t xml:space="preserve">ما يقابله من العام السابق </t>
  </si>
  <si>
    <t xml:space="preserve">  01/01/2024 فعلي </t>
  </si>
  <si>
    <t>01/01/2024 تقديري من البادجت</t>
  </si>
  <si>
    <t xml:space="preserve">نسبة التحقق </t>
  </si>
  <si>
    <t xml:space="preserve">عربي </t>
  </si>
  <si>
    <t>filter 1</t>
  </si>
  <si>
    <t xml:space="preserve">Main catgury </t>
  </si>
  <si>
    <t>filter2</t>
  </si>
  <si>
    <t xml:space="preserve">Subcatgury </t>
  </si>
  <si>
    <t>Filter 3</t>
  </si>
  <si>
    <t>brand</t>
  </si>
  <si>
    <t>filter 4</t>
  </si>
  <si>
    <t xml:space="preserve">product </t>
  </si>
  <si>
    <t xml:space="preserve">Gross Profit by catgury </t>
  </si>
  <si>
    <t>Income statement To budget</t>
  </si>
  <si>
    <t>period (month, Q, half, year, spcific period  )</t>
  </si>
  <si>
    <t xml:space="preserve">filter 2 period </t>
  </si>
  <si>
    <t xml:space="preserve">Online sales </t>
  </si>
  <si>
    <t xml:space="preserve">OFFline saLES </t>
  </si>
  <si>
    <t xml:space="preserve">TOTAL SALES </t>
  </si>
  <si>
    <t xml:space="preserve">Zayed </t>
  </si>
  <si>
    <t xml:space="preserve">hilioplis </t>
  </si>
  <si>
    <t xml:space="preserve">Sales by branch </t>
  </si>
  <si>
    <t xml:space="preserve">Sales  by type of transaction </t>
  </si>
  <si>
    <t xml:space="preserve">Expenses  by branch </t>
  </si>
  <si>
    <t xml:space="preserve">Expenses  by branch in details </t>
  </si>
  <si>
    <t xml:space="preserve">zayed </t>
  </si>
  <si>
    <t>total</t>
  </si>
  <si>
    <t xml:space="preserve">filter 1 period </t>
  </si>
  <si>
    <t xml:space="preserve">Total Expenses </t>
  </si>
  <si>
    <t xml:space="preserve">Hilioplis </t>
  </si>
  <si>
    <t xml:space="preserve">ما يقابله من العام الأسبق  </t>
  </si>
  <si>
    <t>filter 1 branch (ِAll,branch)</t>
  </si>
  <si>
    <t xml:space="preserve">total expenses </t>
  </si>
  <si>
    <t xml:space="preserve">Non-current assets </t>
  </si>
  <si>
    <t xml:space="preserve">Fixed assets </t>
  </si>
  <si>
    <t xml:space="preserve">Total Non-current assets </t>
  </si>
  <si>
    <t xml:space="preserve">Current assets : </t>
  </si>
  <si>
    <t>Cash</t>
  </si>
  <si>
    <t xml:space="preserve">Accounts recivables ( customers balances ) </t>
  </si>
  <si>
    <t>petty cash ( سلف العاملين (</t>
  </si>
  <si>
    <t xml:space="preserve">Total current assets </t>
  </si>
  <si>
    <t xml:space="preserve">Total Assets </t>
  </si>
  <si>
    <t xml:space="preserve">Invntories (total products cost available) </t>
  </si>
  <si>
    <t xml:space="preserve">Equity </t>
  </si>
  <si>
    <t xml:space="preserve">Capital </t>
  </si>
  <si>
    <t xml:space="preserve">Total Equity </t>
  </si>
  <si>
    <t>Retained Earnings ( balance + net profit from income statements - withdrwal)</t>
  </si>
  <si>
    <t>Non-current liabilites</t>
  </si>
  <si>
    <t xml:space="preserve">Total non-current liabilites </t>
  </si>
  <si>
    <t xml:space="preserve">Current liabilites </t>
  </si>
  <si>
    <t xml:space="preserve">Accounts payables ( vendors balances) </t>
  </si>
  <si>
    <t xml:space="preserve">Total current liablites </t>
  </si>
  <si>
    <t xml:space="preserve">Total liabiltes </t>
  </si>
  <si>
    <t xml:space="preserve">Total Equity &amp; liabilites </t>
  </si>
  <si>
    <t xml:space="preserve">should be zero </t>
  </si>
  <si>
    <t xml:space="preserve">Total Assets should be equal to total equity and liabilites </t>
  </si>
  <si>
    <t>*</t>
  </si>
  <si>
    <t>net profit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</si>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</sst>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43" fontId="0" fillId="0" borderId="0" xfId="1" applyFont="1"/>
    <xf numFmtId="0" fontId="0" fillId="0" borderId="1" xfId="0" applyBorder="1"/>
    <xf numFmtId="43" fontId="0" fillId="0" borderId="1" xfId="1" applyFont="1" applyBorder="1"/>
    <xf numFmtId="0" fontId="0" fillId="2" borderId="1" xfId="0" applyFill="1" applyBorder="1"/>
    <xf numFmtId="43" fontId="0" fillId="2" borderId="1" xfId="1" applyFont="1" applyFill="1" applyBorder="1"/>
    <xf numFmtId="17" fontId="0" fillId="0" borderId="0" xfId="0" applyNumberFormat="1"/>
    <xf numFmtId="0" fontId="0" fillId="0" borderId="0" xfId="0" applyAlignment="1">
      <alignment horizontal="center"/>
    </xf>
    <xf numFmtId="43" fontId="0" fillId="0" borderId="2" xfId="1" applyFont="1" applyFill="1" applyBorder="1"/>
    <xf numFmtId="9" fontId="0" fillId="0" borderId="0" xfId="2" applyFont="1" applyAlignment="1">
      <alignment horizontal="center"/>
    </xf>
    <xf numFmtId="9" fontId="0" fillId="0" borderId="1" xfId="2" applyFont="1" applyBorder="1" applyAlignment="1">
      <alignment horizontal="center"/>
    </xf>
    <xf numFmtId="9" fontId="0" fillId="2" borderId="1" xfId="2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43" fontId="0" fillId="3" borderId="0" xfId="0" applyNumberFormat="1" applyFill="1"/>
    <xf numFmtId="0" fontId="0" fillId="3" borderId="1" xfId="0" applyFill="1" applyBorder="1"/>
    <xf numFmtId="43" fontId="0" fillId="3" borderId="1" xfId="1" applyFont="1" applyFill="1" applyBorder="1"/>
    <xf numFmtId="43" fontId="0" fillId="3" borderId="0" xfId="1" applyFont="1" applyFill="1"/>
    <xf numFmtId="0" fontId="0" fillId="4" borderId="0" xfId="0" applyFill="1"/>
    <xf numFmtId="43" fontId="0" fillId="4" borderId="0" xfId="1" applyFont="1" applyFill="1"/>
    <xf numFmtId="0" fontId="0" fillId="3" borderId="3" xfId="0" applyFill="1" applyBorder="1"/>
    <xf numFmtId="43" fontId="0" fillId="3" borderId="4" xfId="1" applyFont="1" applyFill="1" applyBorder="1"/>
    <xf numFmtId="43" fontId="0" fillId="3" borderId="5" xfId="1" applyFont="1" applyFill="1" applyBorder="1"/>
    <xf numFmtId="0" fontId="2" fillId="0" borderId="0" xfId="0" applyFont="1" applyAlignment="1">
      <alignment horizontal="center"/>
    </xf>
    <xf numFmtId="0" fontId="0" fillId="3" borderId="4" xfId="0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workbookViewId="0">
      <selection activeCell="I11" sqref="I11"/>
    </sheetView>
  </sheetViews>
  <sheetFormatPr defaultRowHeight="14.4" x14ac:dyDescent="0.3"/>
  <cols>
    <col min="1" max="1" width="49.44140625" bestFit="1" customWidth="1"/>
    <col min="2" max="2" width="12.77734375" bestFit="1" customWidth="1"/>
    <col min="3" max="3" width="22.21875" bestFit="1" customWidth="1"/>
    <col min="4" max="5" width="17.21875" bestFit="1" customWidth="1"/>
  </cols>
  <sheetData>
    <row r="1" spans="1:7" x14ac:dyDescent="0.3">
      <c r="A1" t="s">
        <v>51</v>
      </c>
    </row>
    <row r="2" spans="1:7" x14ac:dyDescent="0.3">
      <c r="A2" t="s">
        <v>35</v>
      </c>
    </row>
    <row r="3" spans="1:7" x14ac:dyDescent="0.3">
      <c r="A3" s="25" t="s">
        <v>17</v>
      </c>
      <c r="B3" s="25"/>
      <c r="C3" t="s">
        <v>18</v>
      </c>
      <c r="D3" t="s">
        <v>19</v>
      </c>
      <c r="E3" t="s">
        <v>50</v>
      </c>
    </row>
    <row r="4" spans="1:7" x14ac:dyDescent="0.3">
      <c r="A4" t="s">
        <v>34</v>
      </c>
      <c r="B4" t="s">
        <v>23</v>
      </c>
      <c r="C4" s="6">
        <v>45292</v>
      </c>
      <c r="D4" s="6">
        <v>44927</v>
      </c>
      <c r="E4" s="6">
        <v>44562</v>
      </c>
    </row>
    <row r="5" spans="1:7" x14ac:dyDescent="0.3">
      <c r="A5" s="2" t="s">
        <v>0</v>
      </c>
      <c r="B5" s="2" t="s">
        <v>8</v>
      </c>
      <c r="C5" s="3">
        <v>1000000</v>
      </c>
      <c r="D5" s="3">
        <v>800000</v>
      </c>
      <c r="E5" s="3">
        <v>700000</v>
      </c>
    </row>
    <row r="6" spans="1:7" x14ac:dyDescent="0.3">
      <c r="A6" s="2" t="s">
        <v>1</v>
      </c>
      <c r="B6" s="2" t="s">
        <v>9</v>
      </c>
      <c r="C6" s="3">
        <v>-500000</v>
      </c>
      <c r="D6" s="3">
        <v>-400000</v>
      </c>
      <c r="E6" s="3">
        <v>-400000</v>
      </c>
    </row>
    <row r="7" spans="1:7" x14ac:dyDescent="0.3">
      <c r="A7" s="4" t="s">
        <v>2</v>
      </c>
      <c r="B7" s="4" t="s">
        <v>10</v>
      </c>
      <c r="C7" s="5">
        <f>C5+C6</f>
        <v>500000</v>
      </c>
      <c r="D7" s="5">
        <v>400000</v>
      </c>
      <c r="E7" s="5">
        <v>300000</v>
      </c>
    </row>
    <row r="8" spans="1:7" x14ac:dyDescent="0.3">
      <c r="A8" s="2" t="s">
        <v>3</v>
      </c>
      <c r="B8" s="2" t="s">
        <v>11</v>
      </c>
      <c r="C8" s="3"/>
      <c r="D8" s="3"/>
      <c r="E8" s="3"/>
    </row>
    <row r="9" spans="1:7" x14ac:dyDescent="0.3">
      <c r="A9" s="2" t="s">
        <v>4</v>
      </c>
      <c r="B9" s="2" t="s">
        <v>12</v>
      </c>
      <c r="C9" s="3">
        <v>-100000</v>
      </c>
      <c r="D9" s="3">
        <v>-50000</v>
      </c>
      <c r="E9" s="3">
        <v>-50000</v>
      </c>
    </row>
    <row r="10" spans="1:7" x14ac:dyDescent="0.3">
      <c r="A10" s="2" t="s">
        <v>5</v>
      </c>
      <c r="B10" s="2" t="s">
        <v>13</v>
      </c>
      <c r="C10" s="3">
        <v>-120000</v>
      </c>
      <c r="D10" s="3">
        <v>-60000</v>
      </c>
      <c r="E10" s="3">
        <v>-60000</v>
      </c>
    </row>
    <row r="11" spans="1:7" x14ac:dyDescent="0.3">
      <c r="A11" s="2" t="s">
        <v>15</v>
      </c>
      <c r="B11" s="2" t="s">
        <v>16</v>
      </c>
      <c r="C11" s="3">
        <v>-70000</v>
      </c>
      <c r="D11" s="3">
        <v>-70000</v>
      </c>
      <c r="E11" s="3">
        <v>-70000</v>
      </c>
      <c r="G11" s="8"/>
    </row>
    <row r="12" spans="1:7" hidden="1" x14ac:dyDescent="0.3">
      <c r="A12" s="2"/>
      <c r="B12" s="2"/>
      <c r="C12" s="3"/>
      <c r="D12" s="3"/>
      <c r="E12" s="3"/>
    </row>
    <row r="13" spans="1:7" x14ac:dyDescent="0.3">
      <c r="A13" s="2" t="s">
        <v>6</v>
      </c>
      <c r="B13" s="2" t="s">
        <v>14</v>
      </c>
      <c r="C13" s="3">
        <v>-50000</v>
      </c>
      <c r="D13" s="3">
        <v>-20000</v>
      </c>
      <c r="E13" s="3">
        <v>-20000</v>
      </c>
    </row>
    <row r="14" spans="1:7" x14ac:dyDescent="0.3">
      <c r="A14" s="17" t="s">
        <v>52</v>
      </c>
      <c r="B14" s="17"/>
      <c r="C14" s="18">
        <f>SUM(C8:C13)</f>
        <v>-340000</v>
      </c>
      <c r="D14" s="18">
        <f t="shared" ref="D14:E14" si="0">SUM(D8:D13)</f>
        <v>-200000</v>
      </c>
      <c r="E14" s="18">
        <f t="shared" si="0"/>
        <v>-200000</v>
      </c>
    </row>
    <row r="15" spans="1:7" x14ac:dyDescent="0.3">
      <c r="A15" s="4" t="s">
        <v>7</v>
      </c>
      <c r="B15" s="4"/>
      <c r="C15" s="5">
        <f>C7+C14</f>
        <v>160000</v>
      </c>
      <c r="D15" s="5">
        <f t="shared" ref="D15:E15" si="1">D7+D14</f>
        <v>200000</v>
      </c>
      <c r="E15" s="5">
        <f t="shared" si="1"/>
        <v>100000</v>
      </c>
    </row>
    <row r="16" spans="1:7" x14ac:dyDescent="0.3">
      <c r="C16" s="1"/>
      <c r="D16" s="1"/>
      <c r="E16" s="1"/>
    </row>
    <row r="17" spans="3:5" x14ac:dyDescent="0.3">
      <c r="C17" s="1"/>
      <c r="D17" s="1"/>
      <c r="E17" s="1"/>
    </row>
    <row r="18" spans="3:5" x14ac:dyDescent="0.3">
      <c r="C18" s="1"/>
      <c r="D18" s="1"/>
      <c r="E18" s="1"/>
    </row>
  </sheetData>
  <mergeCells count="1"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989F6-1DA0-49EF-86DA-3A85C66F6707}">
  <dimension ref="A1:F15"/>
  <sheetViews>
    <sheetView workbookViewId="0">
      <selection activeCell="C23" sqref="C23"/>
    </sheetView>
  </sheetViews>
  <sheetFormatPr defaultRowHeight="14.4" x14ac:dyDescent="0.3"/>
  <cols>
    <col min="1" max="1" width="49.44140625" bestFit="1" customWidth="1"/>
    <col min="2" max="2" width="12.77734375" bestFit="1" customWidth="1"/>
    <col min="3" max="3" width="22.21875" bestFit="1" customWidth="1"/>
    <col min="4" max="4" width="24.21875" bestFit="1" customWidth="1"/>
    <col min="5" max="5" width="24.21875" style="9" bestFit="1" customWidth="1"/>
  </cols>
  <sheetData>
    <row r="1" spans="1:6" x14ac:dyDescent="0.3">
      <c r="A1" s="25" t="s">
        <v>33</v>
      </c>
      <c r="B1" s="25"/>
      <c r="C1" t="s">
        <v>18</v>
      </c>
      <c r="D1" t="s">
        <v>19</v>
      </c>
    </row>
    <row r="2" spans="1:6" x14ac:dyDescent="0.3">
      <c r="A2" t="s">
        <v>34</v>
      </c>
      <c r="C2" s="6" t="s">
        <v>20</v>
      </c>
      <c r="D2" s="6" t="s">
        <v>21</v>
      </c>
      <c r="E2" s="9" t="s">
        <v>22</v>
      </c>
    </row>
    <row r="3" spans="1:6" x14ac:dyDescent="0.3">
      <c r="A3" s="2" t="s">
        <v>0</v>
      </c>
      <c r="B3" s="2" t="s">
        <v>8</v>
      </c>
      <c r="C3" s="3">
        <v>1000000</v>
      </c>
      <c r="D3" s="3">
        <v>800000</v>
      </c>
      <c r="E3" s="10">
        <f>C3/D3</f>
        <v>1.25</v>
      </c>
    </row>
    <row r="4" spans="1:6" x14ac:dyDescent="0.3">
      <c r="A4" s="2" t="s">
        <v>1</v>
      </c>
      <c r="B4" s="2" t="s">
        <v>9</v>
      </c>
      <c r="C4" s="3">
        <v>-500000</v>
      </c>
      <c r="D4" s="3">
        <v>-400000</v>
      </c>
      <c r="E4" s="10">
        <f t="shared" ref="E4:E12" si="0">C4/D4</f>
        <v>1.25</v>
      </c>
    </row>
    <row r="5" spans="1:6" x14ac:dyDescent="0.3">
      <c r="A5" s="4" t="s">
        <v>2</v>
      </c>
      <c r="B5" s="4" t="s">
        <v>10</v>
      </c>
      <c r="C5" s="5">
        <f>C3+C4</f>
        <v>500000</v>
      </c>
      <c r="D5" s="5">
        <v>400000</v>
      </c>
      <c r="E5" s="11">
        <f t="shared" si="0"/>
        <v>1.25</v>
      </c>
    </row>
    <row r="6" spans="1:6" x14ac:dyDescent="0.3">
      <c r="A6" s="2" t="s">
        <v>3</v>
      </c>
      <c r="B6" s="2" t="s">
        <v>11</v>
      </c>
      <c r="C6" s="3"/>
      <c r="D6" s="3"/>
      <c r="E6" s="10"/>
    </row>
    <row r="7" spans="1:6" x14ac:dyDescent="0.3">
      <c r="A7" s="2" t="s">
        <v>4</v>
      </c>
      <c r="B7" s="2" t="s">
        <v>12</v>
      </c>
      <c r="C7" s="3">
        <v>-60000</v>
      </c>
      <c r="D7" s="3">
        <v>-50000</v>
      </c>
      <c r="E7" s="10">
        <f t="shared" si="0"/>
        <v>1.2</v>
      </c>
    </row>
    <row r="8" spans="1:6" x14ac:dyDescent="0.3">
      <c r="A8" s="2" t="s">
        <v>5</v>
      </c>
      <c r="B8" s="2" t="s">
        <v>13</v>
      </c>
      <c r="C8" s="3">
        <v>-70000</v>
      </c>
      <c r="D8" s="3">
        <v>-60000</v>
      </c>
      <c r="E8" s="10">
        <f t="shared" si="0"/>
        <v>1.1666666666666667</v>
      </c>
    </row>
    <row r="9" spans="1:6" x14ac:dyDescent="0.3">
      <c r="A9" s="2" t="s">
        <v>15</v>
      </c>
      <c r="B9" s="2" t="s">
        <v>16</v>
      </c>
      <c r="C9" s="3">
        <v>-70000</v>
      </c>
      <c r="D9" s="3">
        <v>-70000</v>
      </c>
      <c r="E9" s="10">
        <f t="shared" si="0"/>
        <v>1</v>
      </c>
      <c r="F9" s="8"/>
    </row>
    <row r="10" spans="1:6" hidden="1" x14ac:dyDescent="0.3">
      <c r="A10" s="2"/>
      <c r="B10" s="2"/>
      <c r="C10" s="3"/>
      <c r="D10" s="3"/>
      <c r="E10" s="10" t="e">
        <f t="shared" si="0"/>
        <v>#DIV/0!</v>
      </c>
    </row>
    <row r="11" spans="1:6" x14ac:dyDescent="0.3">
      <c r="A11" s="2" t="s">
        <v>6</v>
      </c>
      <c r="B11" s="2" t="s">
        <v>14</v>
      </c>
      <c r="C11" s="3">
        <v>-30000</v>
      </c>
      <c r="D11" s="3">
        <v>-20000</v>
      </c>
      <c r="E11" s="10">
        <f t="shared" si="0"/>
        <v>1.5</v>
      </c>
    </row>
    <row r="12" spans="1:6" x14ac:dyDescent="0.3">
      <c r="A12" s="4" t="s">
        <v>7</v>
      </c>
      <c r="B12" s="4"/>
      <c r="C12" s="5">
        <f>C5+C7+C8+C11+C9</f>
        <v>270000</v>
      </c>
      <c r="D12" s="5">
        <f>D5+D7+D8+D11+D9</f>
        <v>200000</v>
      </c>
      <c r="E12" s="11">
        <f t="shared" si="0"/>
        <v>1.35</v>
      </c>
    </row>
    <row r="13" spans="1:6" x14ac:dyDescent="0.3">
      <c r="C13" s="1"/>
      <c r="D13" s="1"/>
    </row>
    <row r="14" spans="1:6" x14ac:dyDescent="0.3">
      <c r="C14" s="1"/>
      <c r="D14" s="1"/>
    </row>
    <row r="15" spans="1:6" x14ac:dyDescent="0.3">
      <c r="C15" s="1"/>
      <c r="D15" s="1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4ED0-C9CA-4878-B6FB-1A906A8AAEAD}">
  <dimension ref="A1:E9"/>
  <sheetViews>
    <sheetView workbookViewId="0">
      <selection activeCell="C19" sqref="C19"/>
    </sheetView>
  </sheetViews>
  <sheetFormatPr defaultRowHeight="14.4" x14ac:dyDescent="0.3"/>
  <cols>
    <col min="1" max="1" width="37" bestFit="1" customWidth="1"/>
    <col min="2" max="2" width="23" style="7" customWidth="1"/>
    <col min="3" max="3" width="12.5546875" bestFit="1" customWidth="1"/>
    <col min="4" max="5" width="11.6640625" bestFit="1" customWidth="1"/>
  </cols>
  <sheetData>
    <row r="1" spans="1:5" x14ac:dyDescent="0.3">
      <c r="A1" t="s">
        <v>24</v>
      </c>
      <c r="B1" s="7" t="s">
        <v>25</v>
      </c>
    </row>
    <row r="2" spans="1:5" x14ac:dyDescent="0.3">
      <c r="A2" t="s">
        <v>26</v>
      </c>
      <c r="B2" s="7" t="s">
        <v>27</v>
      </c>
    </row>
    <row r="3" spans="1:5" x14ac:dyDescent="0.3">
      <c r="A3" t="s">
        <v>30</v>
      </c>
      <c r="B3" s="7" t="s">
        <v>31</v>
      </c>
    </row>
    <row r="5" spans="1:5" x14ac:dyDescent="0.3">
      <c r="A5" s="25" t="s">
        <v>32</v>
      </c>
      <c r="B5" s="25"/>
      <c r="C5" s="25"/>
      <c r="D5" s="25"/>
      <c r="E5" s="25"/>
    </row>
    <row r="6" spans="1:5" x14ac:dyDescent="0.3">
      <c r="A6" t="s">
        <v>34</v>
      </c>
      <c r="B6" s="7" t="s">
        <v>23</v>
      </c>
      <c r="C6" s="6">
        <v>45292</v>
      </c>
      <c r="D6" s="6">
        <v>44927</v>
      </c>
      <c r="E6" s="6">
        <v>44562</v>
      </c>
    </row>
    <row r="7" spans="1:5" x14ac:dyDescent="0.3">
      <c r="A7" s="2" t="s">
        <v>0</v>
      </c>
      <c r="B7" s="12" t="s">
        <v>8</v>
      </c>
      <c r="C7" s="3">
        <v>1000000</v>
      </c>
      <c r="D7" s="3">
        <v>800000</v>
      </c>
      <c r="E7" s="3">
        <v>700000</v>
      </c>
    </row>
    <row r="8" spans="1:5" x14ac:dyDescent="0.3">
      <c r="A8" s="2" t="s">
        <v>1</v>
      </c>
      <c r="B8" s="12" t="s">
        <v>9</v>
      </c>
      <c r="C8" s="3">
        <v>-500000</v>
      </c>
      <c r="D8" s="3">
        <v>-400000</v>
      </c>
      <c r="E8" s="3">
        <v>-400000</v>
      </c>
    </row>
    <row r="9" spans="1:5" x14ac:dyDescent="0.3">
      <c r="A9" s="4" t="s">
        <v>2</v>
      </c>
      <c r="B9" s="13" t="s">
        <v>10</v>
      </c>
      <c r="C9" s="5">
        <f>C7+C8</f>
        <v>500000</v>
      </c>
      <c r="D9" s="5">
        <v>400000</v>
      </c>
      <c r="E9" s="5">
        <v>300000</v>
      </c>
    </row>
  </sheetData>
  <mergeCells count="1">
    <mergeCell ref="A5:E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A8DA3-2302-4D2F-AC01-3828775412D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08F86-26F5-499A-8892-B8B76CEB693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253BF-C0B7-4DFC-AD49-A01515D04ABC}">
  <dimension ref="A1:E10"/>
  <sheetViews>
    <sheetView topLeftCell="A5" workbookViewId="0">
      <selection activeCell="G16" sqref="G16"/>
    </sheetView>
  </sheetViews>
  <sheetFormatPr defaultRowHeight="14.4" x14ac:dyDescent="0.3"/>
  <cols>
    <col min="1" max="1" width="37" bestFit="1" customWidth="1"/>
    <col min="2" max="2" width="23" style="7" customWidth="1"/>
    <col min="3" max="5" width="12.5546875" bestFit="1" customWidth="1"/>
  </cols>
  <sheetData>
    <row r="1" spans="1:5" hidden="1" x14ac:dyDescent="0.3">
      <c r="A1" t="s">
        <v>24</v>
      </c>
      <c r="B1" s="7" t="s">
        <v>25</v>
      </c>
    </row>
    <row r="2" spans="1:5" hidden="1" x14ac:dyDescent="0.3">
      <c r="A2" t="s">
        <v>26</v>
      </c>
      <c r="B2" s="7" t="s">
        <v>27</v>
      </c>
    </row>
    <row r="3" spans="1:5" hidden="1" x14ac:dyDescent="0.3">
      <c r="A3" t="s">
        <v>28</v>
      </c>
      <c r="B3" s="7" t="s">
        <v>29</v>
      </c>
    </row>
    <row r="4" spans="1:5" hidden="1" x14ac:dyDescent="0.3">
      <c r="A4" t="s">
        <v>30</v>
      </c>
      <c r="B4" s="7" t="s">
        <v>31</v>
      </c>
    </row>
    <row r="6" spans="1:5" x14ac:dyDescent="0.3">
      <c r="A6" s="25" t="s">
        <v>42</v>
      </c>
      <c r="B6" s="25"/>
      <c r="C6" s="25"/>
      <c r="D6" s="25"/>
      <c r="E6" s="25"/>
    </row>
    <row r="7" spans="1:5" x14ac:dyDescent="0.3">
      <c r="A7" t="s">
        <v>34</v>
      </c>
      <c r="B7" s="7" t="s">
        <v>23</v>
      </c>
      <c r="C7" s="6">
        <v>45292</v>
      </c>
      <c r="D7" s="6">
        <v>44927</v>
      </c>
      <c r="E7" s="6">
        <v>44562</v>
      </c>
    </row>
    <row r="8" spans="1:5" x14ac:dyDescent="0.3">
      <c r="A8" s="2" t="s">
        <v>36</v>
      </c>
      <c r="B8" s="12"/>
      <c r="C8" s="3">
        <v>1000000</v>
      </c>
      <c r="D8" s="3">
        <v>800000</v>
      </c>
      <c r="E8" s="3">
        <v>700000</v>
      </c>
    </row>
    <row r="9" spans="1:5" x14ac:dyDescent="0.3">
      <c r="A9" s="2" t="s">
        <v>37</v>
      </c>
      <c r="B9" s="12"/>
      <c r="C9" s="3">
        <v>1200000</v>
      </c>
      <c r="D9" s="3">
        <v>600000</v>
      </c>
      <c r="E9" s="3">
        <v>300000</v>
      </c>
    </row>
    <row r="10" spans="1:5" x14ac:dyDescent="0.3">
      <c r="A10" s="4" t="s">
        <v>38</v>
      </c>
      <c r="B10" s="13" t="s">
        <v>10</v>
      </c>
      <c r="C10" s="5">
        <f>C8+C9</f>
        <v>2200000</v>
      </c>
      <c r="D10" s="5">
        <f t="shared" ref="D10:E10" si="0">D8+D9</f>
        <v>1400000</v>
      </c>
      <c r="E10" s="5">
        <f t="shared" si="0"/>
        <v>1000000</v>
      </c>
    </row>
  </sheetData>
  <mergeCells count="1">
    <mergeCell ref="A6:E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D7AC0-BFD4-46BE-B5E9-8D4CFB417C9E}">
  <dimension ref="A1:H14"/>
  <sheetViews>
    <sheetView tabSelected="1" topLeftCell="B5" workbookViewId="0">
      <selection activeCell="H21" sqref="H21"/>
    </sheetView>
  </sheetViews>
  <sheetFormatPr defaultRowHeight="14.4" x14ac:dyDescent="0.3"/>
  <cols>
    <col min="1" max="1" width="37" bestFit="1" customWidth="1"/>
    <col min="2" max="2" width="23" style="7" customWidth="1"/>
    <col min="3" max="5" width="12.5546875" bestFit="1" customWidth="1"/>
  </cols>
  <sheetData>
    <row r="1" spans="1:8" hidden="1" x14ac:dyDescent="0.3">
      <c r="A1" t="s">
        <v>24</v>
      </c>
      <c r="B1" s="7" t="s">
        <v>25</v>
      </c>
    </row>
    <row r="2" spans="1:8" hidden="1" x14ac:dyDescent="0.3">
      <c r="A2" t="s">
        <v>26</v>
      </c>
      <c r="B2" s="7" t="s">
        <v>27</v>
      </c>
    </row>
    <row r="3" spans="1:8" hidden="1" x14ac:dyDescent="0.3">
      <c r="A3" t="s">
        <v>28</v>
      </c>
      <c r="B3" s="7" t="s">
        <v>29</v>
      </c>
    </row>
    <row r="4" spans="1:8" hidden="1" x14ac:dyDescent="0.3">
      <c r="A4" t="s">
        <v>30</v>
      </c>
      <c r="B4" s="7" t="s">
        <v>31</v>
      </c>
    </row>
    <row r="6" spans="1:8" x14ac:dyDescent="0.3">
      <c r="A6" s="25" t="s">
        <v>41</v>
      </c>
      <c r="B6" s="25"/>
      <c r="C6" s="25"/>
      <c r="D6" s="25"/>
      <c r="E6" s="25"/>
    </row>
    <row r="7" spans="1:8" x14ac:dyDescent="0.3">
      <c r="A7" t="s">
        <v>34</v>
      </c>
      <c r="B7" s="7" t="s">
        <v>23</v>
      </c>
      <c r="C7" s="6">
        <v>45292</v>
      </c>
      <c r="D7" s="6">
        <v>44927</v>
      </c>
      <c r="E7" s="6">
        <v>44562</v>
      </c>
    </row>
    <row r="8" spans="1:8" x14ac:dyDescent="0.3">
      <c r="A8" s="2" t="s">
        <v>39</v>
      </c>
      <c r="B8" s="12"/>
      <c r="C8" s="3">
        <v>1000000</v>
      </c>
      <c r="D8" s="3">
        <v>800000</v>
      </c>
      <c r="E8" s="3">
        <v>700000</v>
      </c>
    </row>
    <row r="9" spans="1:8" x14ac:dyDescent="0.3">
      <c r="A9" s="2" t="s">
        <v>40</v>
      </c>
      <c r="B9" s="12"/>
      <c r="C9" s="3">
        <v>1200000</v>
      </c>
      <c r="D9" s="3">
        <v>600000</v>
      </c>
      <c r="E9" s="3">
        <v>300000</v>
      </c>
    </row>
    <row r="10" spans="1:8" x14ac:dyDescent="0.3">
      <c r="A10" s="4" t="s">
        <v>38</v>
      </c>
      <c r="B10" s="13" t="s">
        <v>10</v>
      </c>
      <c r="C10" s="5">
        <f>C8+C9</f>
        <v>2200000</v>
      </c>
      <c r="D10" s="5">
        <f t="shared" ref="D10:E10" si="0">D8+D9</f>
        <v>1400000</v>
      </c>
      <c r="E10" s="5">
        <f t="shared" si="0"/>
        <v>1000000</v>
      </c>
    </row>
    <row r="14" spans="1:8" x14ac:dyDescent="0.3">
      <c r="H14" t="s">
        <v>78</v>
      </c>
    </row>
  </sheetData>
  <mergeCells count="1">
    <mergeCell ref="A6:E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0BCDE-7474-4E02-85EC-24C6EDB307F5}">
  <dimension ref="A1:E10"/>
  <sheetViews>
    <sheetView topLeftCell="A5" workbookViewId="0">
      <selection activeCell="C26" sqref="C26"/>
    </sheetView>
  </sheetViews>
  <sheetFormatPr defaultRowHeight="14.4" x14ac:dyDescent="0.3"/>
  <cols>
    <col min="1" max="1" width="37" bestFit="1" customWidth="1"/>
    <col min="2" max="2" width="23" style="7" customWidth="1"/>
    <col min="3" max="5" width="12.5546875" bestFit="1" customWidth="1"/>
  </cols>
  <sheetData>
    <row r="1" spans="1:5" hidden="1" x14ac:dyDescent="0.3">
      <c r="A1" t="s">
        <v>24</v>
      </c>
      <c r="B1" s="7" t="s">
        <v>25</v>
      </c>
    </row>
    <row r="2" spans="1:5" hidden="1" x14ac:dyDescent="0.3">
      <c r="A2" t="s">
        <v>26</v>
      </c>
      <c r="B2" s="7" t="s">
        <v>27</v>
      </c>
    </row>
    <row r="3" spans="1:5" hidden="1" x14ac:dyDescent="0.3">
      <c r="A3" t="s">
        <v>28</v>
      </c>
      <c r="B3" s="7" t="s">
        <v>29</v>
      </c>
    </row>
    <row r="4" spans="1:5" hidden="1" x14ac:dyDescent="0.3">
      <c r="A4" t="s">
        <v>30</v>
      </c>
      <c r="B4" s="7" t="s">
        <v>31</v>
      </c>
    </row>
    <row r="6" spans="1:5" x14ac:dyDescent="0.3">
      <c r="A6" s="25" t="s">
        <v>43</v>
      </c>
      <c r="B6" s="25"/>
      <c r="C6" s="25"/>
      <c r="D6" s="25"/>
      <c r="E6" s="25"/>
    </row>
    <row r="7" spans="1:5" x14ac:dyDescent="0.3">
      <c r="A7" t="s">
        <v>34</v>
      </c>
      <c r="B7" s="7" t="s">
        <v>23</v>
      </c>
      <c r="C7" s="6">
        <v>45292</v>
      </c>
      <c r="D7" s="6">
        <v>44927</v>
      </c>
      <c r="E7" s="6">
        <v>44562</v>
      </c>
    </row>
    <row r="8" spans="1:5" x14ac:dyDescent="0.3">
      <c r="A8" s="2" t="s">
        <v>39</v>
      </c>
      <c r="B8" s="12"/>
      <c r="C8" s="3">
        <v>1000000</v>
      </c>
      <c r="D8" s="3">
        <v>800000</v>
      </c>
      <c r="E8" s="3">
        <v>700000</v>
      </c>
    </row>
    <row r="9" spans="1:5" x14ac:dyDescent="0.3">
      <c r="A9" s="2" t="s">
        <v>40</v>
      </c>
      <c r="B9" s="12"/>
      <c r="C9" s="3">
        <v>1200000</v>
      </c>
      <c r="D9" s="3">
        <v>600000</v>
      </c>
      <c r="E9" s="3">
        <v>300000</v>
      </c>
    </row>
    <row r="10" spans="1:5" x14ac:dyDescent="0.3">
      <c r="A10" s="14" t="s">
        <v>48</v>
      </c>
      <c r="B10" s="13"/>
      <c r="C10" s="5">
        <f>C8+C9</f>
        <v>2200000</v>
      </c>
      <c r="D10" s="5">
        <f t="shared" ref="D10:E10" si="0">D8+D9</f>
        <v>1400000</v>
      </c>
      <c r="E10" s="5">
        <f t="shared" si="0"/>
        <v>1000000</v>
      </c>
    </row>
  </sheetData>
  <mergeCells count="1">
    <mergeCell ref="A6:E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F85AB-7046-44D3-A07B-9604E5B745EC}">
  <dimension ref="A1:E12"/>
  <sheetViews>
    <sheetView topLeftCell="A5" workbookViewId="0">
      <selection activeCell="F25" sqref="F25"/>
    </sheetView>
  </sheetViews>
  <sheetFormatPr defaultRowHeight="14.4" x14ac:dyDescent="0.3"/>
  <cols>
    <col min="1" max="1" width="37" bestFit="1" customWidth="1"/>
    <col min="2" max="2" width="23" style="7" customWidth="1"/>
    <col min="3" max="5" width="12.5546875" bestFit="1" customWidth="1"/>
  </cols>
  <sheetData>
    <row r="1" spans="1:5" hidden="1" x14ac:dyDescent="0.3">
      <c r="A1" t="s">
        <v>24</v>
      </c>
      <c r="B1" s="7" t="s">
        <v>25</v>
      </c>
    </row>
    <row r="2" spans="1:5" hidden="1" x14ac:dyDescent="0.3">
      <c r="A2" t="s">
        <v>26</v>
      </c>
      <c r="B2" s="7" t="s">
        <v>27</v>
      </c>
    </row>
    <row r="3" spans="1:5" hidden="1" x14ac:dyDescent="0.3">
      <c r="A3" t="s">
        <v>28</v>
      </c>
      <c r="B3" s="7" t="s">
        <v>29</v>
      </c>
    </row>
    <row r="4" spans="1:5" hidden="1" x14ac:dyDescent="0.3">
      <c r="A4" t="s">
        <v>30</v>
      </c>
      <c r="B4" s="7" t="s">
        <v>31</v>
      </c>
    </row>
    <row r="5" spans="1:5" x14ac:dyDescent="0.3">
      <c r="A5" t="s">
        <v>47</v>
      </c>
    </row>
    <row r="6" spans="1:5" x14ac:dyDescent="0.3">
      <c r="A6" s="25" t="s">
        <v>44</v>
      </c>
      <c r="B6" s="25"/>
      <c r="C6" s="25"/>
      <c r="D6" s="25"/>
      <c r="E6" s="25"/>
    </row>
    <row r="7" spans="1:5" x14ac:dyDescent="0.3">
      <c r="A7" t="s">
        <v>34</v>
      </c>
      <c r="B7" s="7" t="s">
        <v>23</v>
      </c>
      <c r="C7" s="6" t="s">
        <v>45</v>
      </c>
      <c r="D7" s="6" t="s">
        <v>49</v>
      </c>
      <c r="E7" s="6" t="s">
        <v>46</v>
      </c>
    </row>
    <row r="8" spans="1:5" x14ac:dyDescent="0.3">
      <c r="A8" s="2" t="s">
        <v>4</v>
      </c>
      <c r="B8" s="12"/>
      <c r="C8" s="3">
        <v>1000000</v>
      </c>
      <c r="D8" s="3">
        <v>800000</v>
      </c>
      <c r="E8" s="3">
        <v>700000</v>
      </c>
    </row>
    <row r="9" spans="1:5" x14ac:dyDescent="0.3">
      <c r="A9" s="2" t="s">
        <v>5</v>
      </c>
      <c r="B9" s="12"/>
      <c r="C9" s="3">
        <v>1200000</v>
      </c>
      <c r="D9" s="3">
        <v>600000</v>
      </c>
      <c r="E9" s="3">
        <v>300000</v>
      </c>
    </row>
    <row r="10" spans="1:5" x14ac:dyDescent="0.3">
      <c r="A10" s="2" t="s">
        <v>15</v>
      </c>
      <c r="C10" s="3">
        <v>1400000</v>
      </c>
      <c r="D10" s="3">
        <v>400000</v>
      </c>
      <c r="E10" s="3">
        <v>100000</v>
      </c>
    </row>
    <row r="11" spans="1:5" x14ac:dyDescent="0.3">
      <c r="A11" s="2" t="s">
        <v>6</v>
      </c>
      <c r="C11" s="3">
        <v>1800000</v>
      </c>
      <c r="D11" s="3">
        <v>0</v>
      </c>
      <c r="E11" s="3">
        <v>200000</v>
      </c>
    </row>
    <row r="12" spans="1:5" x14ac:dyDescent="0.3">
      <c r="A12" s="14" t="s">
        <v>48</v>
      </c>
      <c r="B12" s="15"/>
      <c r="C12" s="16">
        <f>SUM(C8:C11)</f>
        <v>5400000</v>
      </c>
      <c r="D12" s="16">
        <f t="shared" ref="D12" si="0">SUM(D8:D11)</f>
        <v>1800000</v>
      </c>
      <c r="E12" s="16">
        <f>SUM(E8:E11)</f>
        <v>1300000</v>
      </c>
    </row>
  </sheetData>
  <mergeCells count="1">
    <mergeCell ref="A6:E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979C1-8E72-4E78-8C1F-117EF54D7E1A}">
  <dimension ref="A3:F27"/>
  <sheetViews>
    <sheetView workbookViewId="0">
      <selection activeCell="B1" sqref="B1:B1048576"/>
    </sheetView>
  </sheetViews>
  <sheetFormatPr defaultRowHeight="14.4" x14ac:dyDescent="0.3"/>
  <cols>
    <col min="1" max="1" width="64.88671875" bestFit="1" customWidth="1"/>
    <col min="2" max="2" width="64.88671875" hidden="1" customWidth="1"/>
    <col min="3" max="4" width="12.5546875" style="1" bestFit="1" customWidth="1"/>
    <col min="5" max="6" width="12.5546875" bestFit="1" customWidth="1"/>
  </cols>
  <sheetData>
    <row r="3" spans="1:6" x14ac:dyDescent="0.3">
      <c r="A3" t="s">
        <v>53</v>
      </c>
      <c r="C3">
        <v>2024</v>
      </c>
      <c r="D3">
        <v>2023</v>
      </c>
      <c r="E3">
        <v>2022</v>
      </c>
      <c r="F3">
        <v>2021</v>
      </c>
    </row>
    <row r="4" spans="1:6" x14ac:dyDescent="0.3">
      <c r="A4" t="s">
        <v>54</v>
      </c>
      <c r="C4" s="1">
        <v>1000000</v>
      </c>
      <c r="D4" s="1">
        <v>900000</v>
      </c>
      <c r="E4" s="1">
        <v>1000000</v>
      </c>
      <c r="F4" s="1">
        <v>900000</v>
      </c>
    </row>
    <row r="5" spans="1:6" x14ac:dyDescent="0.3">
      <c r="A5" s="14" t="s">
        <v>55</v>
      </c>
      <c r="B5" s="14"/>
      <c r="C5" s="19">
        <f>C4</f>
        <v>1000000</v>
      </c>
      <c r="D5" s="19">
        <f>D4</f>
        <v>900000</v>
      </c>
      <c r="E5" s="19">
        <f>E4</f>
        <v>1000000</v>
      </c>
      <c r="F5" s="19">
        <f>F4</f>
        <v>900000</v>
      </c>
    </row>
    <row r="6" spans="1:6" x14ac:dyDescent="0.3">
      <c r="A6" t="s">
        <v>56</v>
      </c>
      <c r="E6" s="1"/>
      <c r="F6" s="1"/>
    </row>
    <row r="7" spans="1:6" x14ac:dyDescent="0.3">
      <c r="A7" t="s">
        <v>57</v>
      </c>
      <c r="C7" s="1">
        <v>10000</v>
      </c>
      <c r="D7" s="1">
        <v>9000</v>
      </c>
      <c r="E7" s="1">
        <v>9000</v>
      </c>
      <c r="F7" s="1">
        <v>9000</v>
      </c>
    </row>
    <row r="8" spans="1:6" x14ac:dyDescent="0.3">
      <c r="A8" t="s">
        <v>62</v>
      </c>
      <c r="C8" s="1">
        <v>1200000</v>
      </c>
      <c r="D8" s="1">
        <v>1100000</v>
      </c>
      <c r="E8" s="1">
        <v>1100000</v>
      </c>
      <c r="F8" s="1">
        <v>1100000</v>
      </c>
    </row>
    <row r="9" spans="1:6" x14ac:dyDescent="0.3">
      <c r="A9" t="s">
        <v>58</v>
      </c>
      <c r="C9" s="1">
        <v>100000</v>
      </c>
      <c r="D9" s="1">
        <v>100000</v>
      </c>
      <c r="E9" s="1">
        <v>100000</v>
      </c>
      <c r="F9" s="1">
        <v>100000</v>
      </c>
    </row>
    <row r="10" spans="1:6" hidden="1" x14ac:dyDescent="0.3">
      <c r="A10" t="s">
        <v>59</v>
      </c>
      <c r="C10" s="1">
        <v>10000</v>
      </c>
      <c r="D10" s="1">
        <v>5000</v>
      </c>
      <c r="E10" s="1">
        <v>5000</v>
      </c>
      <c r="F10" s="1">
        <v>5000</v>
      </c>
    </row>
    <row r="11" spans="1:6" ht="15" thickBot="1" x14ac:dyDescent="0.35">
      <c r="A11" s="14" t="s">
        <v>60</v>
      </c>
      <c r="B11" s="14"/>
      <c r="C11" s="19">
        <f>SUM(C7:C10)</f>
        <v>1320000</v>
      </c>
      <c r="D11" s="19">
        <f>SUM(D7:D10)</f>
        <v>1214000</v>
      </c>
      <c r="E11" s="19">
        <f>SUM(E7:E10)</f>
        <v>1214000</v>
      </c>
      <c r="F11" s="19">
        <f>SUM(F7:F10)</f>
        <v>1214000</v>
      </c>
    </row>
    <row r="12" spans="1:6" ht="15" thickBot="1" x14ac:dyDescent="0.35">
      <c r="A12" s="22" t="s">
        <v>61</v>
      </c>
      <c r="B12" s="26"/>
      <c r="C12" s="23">
        <f>C5+C11</f>
        <v>2320000</v>
      </c>
      <c r="D12" s="24">
        <f>D5+D11</f>
        <v>2114000</v>
      </c>
      <c r="E12" s="24">
        <f>E5+E11</f>
        <v>2214000</v>
      </c>
      <c r="F12" s="24">
        <f>F5+F11</f>
        <v>2114000</v>
      </c>
    </row>
    <row r="13" spans="1:6" x14ac:dyDescent="0.3">
      <c r="A13" t="s">
        <v>63</v>
      </c>
      <c r="E13" s="1"/>
      <c r="F13" s="1"/>
    </row>
    <row r="14" spans="1:6" x14ac:dyDescent="0.3">
      <c r="A14" t="s">
        <v>64</v>
      </c>
      <c r="C14" s="1">
        <v>2000000</v>
      </c>
      <c r="D14" s="1">
        <v>2000000</v>
      </c>
      <c r="E14" s="1">
        <v>2000000</v>
      </c>
      <c r="F14" s="1">
        <v>2000000</v>
      </c>
    </row>
    <row r="15" spans="1:6" x14ac:dyDescent="0.3">
      <c r="A15" t="s">
        <v>66</v>
      </c>
      <c r="C15" s="1">
        <v>120000</v>
      </c>
      <c r="D15" s="1">
        <v>100000</v>
      </c>
      <c r="E15" s="1">
        <v>100000</v>
      </c>
      <c r="F15" s="1">
        <v>100000</v>
      </c>
    </row>
    <row r="16" spans="1:6" x14ac:dyDescent="0.3">
      <c r="A16" t="s">
        <v>77</v>
      </c>
      <c r="E16" s="1"/>
      <c r="F16" s="1"/>
    </row>
    <row r="17" spans="1:6" x14ac:dyDescent="0.3">
      <c r="A17" s="14" t="s">
        <v>65</v>
      </c>
      <c r="B17" s="14"/>
      <c r="C17" s="19">
        <f>SUM(C14:C15)</f>
        <v>2120000</v>
      </c>
      <c r="D17" s="19">
        <f>SUM(D14:D15)</f>
        <v>2100000</v>
      </c>
      <c r="E17" s="19">
        <f>SUM(E14:E15)</f>
        <v>2100000</v>
      </c>
      <c r="F17" s="19">
        <f>SUM(F14:F15)</f>
        <v>2100000</v>
      </c>
    </row>
    <row r="18" spans="1:6" x14ac:dyDescent="0.3">
      <c r="A18" t="s">
        <v>67</v>
      </c>
      <c r="C18" s="1">
        <v>0</v>
      </c>
      <c r="E18" s="1"/>
      <c r="F18" s="1"/>
    </row>
    <row r="19" spans="1:6" x14ac:dyDescent="0.3">
      <c r="A19" s="14" t="s">
        <v>68</v>
      </c>
      <c r="B19" s="14"/>
      <c r="C19" s="19">
        <v>0</v>
      </c>
      <c r="D19" s="19">
        <v>0</v>
      </c>
      <c r="E19" s="19">
        <v>0</v>
      </c>
      <c r="F19" s="19">
        <v>0</v>
      </c>
    </row>
    <row r="20" spans="1:6" x14ac:dyDescent="0.3">
      <c r="A20" t="s">
        <v>69</v>
      </c>
      <c r="E20" s="1"/>
      <c r="F20" s="1"/>
    </row>
    <row r="21" spans="1:6" x14ac:dyDescent="0.3">
      <c r="A21" s="20" t="s">
        <v>70</v>
      </c>
      <c r="B21" s="20"/>
      <c r="C21" s="1">
        <v>200000</v>
      </c>
      <c r="D21" s="1">
        <v>14000</v>
      </c>
      <c r="E21" s="1">
        <v>114000</v>
      </c>
      <c r="F21" s="1">
        <v>14000</v>
      </c>
    </row>
    <row r="22" spans="1:6" x14ac:dyDescent="0.3">
      <c r="A22" s="14" t="s">
        <v>71</v>
      </c>
      <c r="B22" s="14"/>
      <c r="C22" s="19">
        <f>SUM(C21)</f>
        <v>200000</v>
      </c>
      <c r="D22" s="19">
        <f>SUM(D21)</f>
        <v>14000</v>
      </c>
      <c r="E22" s="19">
        <f>SUM(E21)</f>
        <v>114000</v>
      </c>
      <c r="F22" s="19">
        <f>SUM(F21)</f>
        <v>14000</v>
      </c>
    </row>
    <row r="23" spans="1:6" ht="15" thickBot="1" x14ac:dyDescent="0.35">
      <c r="A23" s="14" t="s">
        <v>72</v>
      </c>
      <c r="B23" s="14"/>
      <c r="C23" s="19">
        <f>C22+C19</f>
        <v>200000</v>
      </c>
      <c r="D23" s="19">
        <f>D22+D19</f>
        <v>14000</v>
      </c>
      <c r="E23" s="19">
        <f>E22+E19</f>
        <v>114000</v>
      </c>
      <c r="F23" s="19">
        <f>F22+F19</f>
        <v>14000</v>
      </c>
    </row>
    <row r="24" spans="1:6" ht="15" thickBot="1" x14ac:dyDescent="0.35">
      <c r="A24" s="22" t="s">
        <v>73</v>
      </c>
      <c r="B24" s="26"/>
      <c r="C24" s="23">
        <f>C23+C17</f>
        <v>2320000</v>
      </c>
      <c r="D24" s="24">
        <f>D23+D17</f>
        <v>2114000</v>
      </c>
      <c r="E24" s="24">
        <f>E23+E17</f>
        <v>2214000</v>
      </c>
      <c r="F24" s="24">
        <f>F23+F17</f>
        <v>2114000</v>
      </c>
    </row>
    <row r="25" spans="1:6" x14ac:dyDescent="0.3">
      <c r="A25" s="20" t="s">
        <v>74</v>
      </c>
      <c r="B25" s="20"/>
      <c r="C25" s="21">
        <f>C12-C24</f>
        <v>0</v>
      </c>
      <c r="D25" s="21">
        <f>D12-D24</f>
        <v>0</v>
      </c>
      <c r="E25" s="21">
        <f>E12-E24</f>
        <v>0</v>
      </c>
      <c r="F25" s="21">
        <f>F12-F24</f>
        <v>0</v>
      </c>
    </row>
    <row r="27" spans="1:6" x14ac:dyDescent="0.3">
      <c r="A27" s="20" t="s">
        <v>75</v>
      </c>
      <c r="B27" s="20"/>
      <c r="C27" s="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قائمة الدخل  فعلي بالمقارن</vt:lpstr>
      <vt:lpstr>قائمة الدخل  فعلي بتقديري </vt:lpstr>
      <vt:lpstr>Gross profit by Main cat</vt:lpstr>
      <vt:lpstr>Sheet4</vt:lpstr>
      <vt:lpstr>Sheet3</vt:lpstr>
      <vt:lpstr>SAles online or offline </vt:lpstr>
      <vt:lpstr>SAles  BY BRANCH </vt:lpstr>
      <vt:lpstr>eXPENSES  BY BRANCH Total</vt:lpstr>
      <vt:lpstr>eXPENSES  BY BRANCH  Details </vt:lpstr>
      <vt:lpstr>statement of financial 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Ragab</dc:creator>
  <cp:lastModifiedBy>Mostafa Ragab</cp:lastModifiedBy>
  <dcterms:created xsi:type="dcterms:W3CDTF">2015-06-05T18:17:20Z</dcterms:created>
  <dcterms:modified xsi:type="dcterms:W3CDTF">2025-01-25T14:54:13Z</dcterms:modified>
</cp:coreProperties>
</file>